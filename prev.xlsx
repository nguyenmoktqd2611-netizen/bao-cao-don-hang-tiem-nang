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https://flexfitcom-my.sharepoint.com/personal/mont_flexfit_vn/Documents/MONT/Báo cáo doanh số/Báo cáo tiềm năng/"/>
    </mc:Choice>
  </mc:AlternateContent>
  <xr:revisionPtr revIDLastSave="1" documentId="13_ncr:1_{5E98956E-499D-418D-B677-FE5E1D546F3C}" xr6:coauthVersionLast="47" xr6:coauthVersionMax="47" xr10:uidLastSave="{DCED2646-479A-48C5-896A-4179CA5AAF6A}"/>
  <bookViews>
    <workbookView xWindow="-120" yWindow="-120" windowWidth="29040" windowHeight="15840" xr2:uid="{00000000-000D-0000-FFFF-FFFF00000000}"/>
  </bookViews>
  <sheets>
    <sheet name="Danh sách dự kiến ký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1" l="1"/>
  <c r="F8" i="1"/>
  <c r="F18" i="1"/>
  <c r="F4" i="1"/>
  <c r="F41" i="1" s="1"/>
</calcChain>
</file>

<file path=xl/sharedStrings.xml><?xml version="1.0" encoding="utf-8"?>
<sst xmlns="http://schemas.openxmlformats.org/spreadsheetml/2006/main" count="256" uniqueCount="120">
  <si>
    <t>Phòng ban</t>
  </si>
  <si>
    <t>Nhân viên</t>
  </si>
  <si>
    <t>BU 3</t>
  </si>
  <si>
    <t>Ngô Thanh Tùng</t>
  </si>
  <si>
    <t>Dương Xuân Thái</t>
  </si>
  <si>
    <t>Nguyễn Kiều Vân</t>
  </si>
  <si>
    <t>BU 2</t>
  </si>
  <si>
    <t>Lê Thị Hằng</t>
  </si>
  <si>
    <t>BU 1</t>
  </si>
  <si>
    <t>Hoàng Xuân Sơn</t>
  </si>
  <si>
    <t>Nguyễn Lâm Vũ</t>
  </si>
  <si>
    <t>Đinh Ngọc Thịnh</t>
  </si>
  <si>
    <t>Lê Thị Sao Mai</t>
  </si>
  <si>
    <t>BU HCM</t>
  </si>
  <si>
    <t>Nguyễn Thanh Bình</t>
  </si>
  <si>
    <t>DANH SÁCH CÁC LEAD DỰ KIẾN KÝ THÁNG + TIỀM NĂNG</t>
  </si>
  <si>
    <t>STT</t>
  </si>
  <si>
    <t>Khách hàng</t>
  </si>
  <si>
    <t>Đầu mối làm việc
(SĐT)</t>
  </si>
  <si>
    <t>Doanh số dự kiến ký</t>
  </si>
  <si>
    <t xml:space="preserve">Thời gian dự kiến ký </t>
  </si>
  <si>
    <t>Trạng thái</t>
  </si>
  <si>
    <t>Nguồn lead</t>
  </si>
  <si>
    <t>Mức độ tiềm năng</t>
  </si>
  <si>
    <t>Tình trạng chăm lead</t>
  </si>
  <si>
    <t>Đề xuất Hỗ trợ từ BGĐ</t>
  </si>
  <si>
    <t>I</t>
  </si>
  <si>
    <t>Phong Vũ Phan Đăng Lưu</t>
  </si>
  <si>
    <t>anh Nam: 0912149609</t>
  </si>
  <si>
    <t>12-15/06</t>
  </si>
  <si>
    <t>Dự kiến ký tháng</t>
  </si>
  <si>
    <t>Customer</t>
  </si>
  <si>
    <t>Đã gửi báo giá cho khách 2/6, đang chờ tài chính bên Phong Vũ duyệt</t>
  </si>
  <si>
    <t>Phát sinh KS Phú Quốc</t>
  </si>
  <si>
    <t>Gửi báo giá phát sinh ngày 23/05
QS đang trình sếp Khôi Nguyên duyệt, dự kiến đầu tuần tới ký</t>
  </si>
  <si>
    <t>Khách sạn Phú Quốc Chị Trang</t>
  </si>
  <si>
    <t>Tháng 6</t>
  </si>
  <si>
    <t>Khách đã có 3D, Đã gửi báo giá cho khách ngày 2/6
Khách muốn giảm giá 15%, đang thương thảo giảm 8%
Hai bên đang đàm phán, dự kiến sang tuần chốt ký</t>
  </si>
  <si>
    <t>II</t>
  </si>
  <si>
    <t>0909000156 - Chị Linh</t>
  </si>
  <si>
    <t>Khách cũ giới thiệu</t>
  </si>
  <si>
    <t>06/06 khách phản hồi đã ok về báo giá, sang tuần soạn hợp đồng gửi khách review và ký</t>
  </si>
  <si>
    <t>anh Quyết</t>
  </si>
  <si>
    <t>MKT</t>
  </si>
  <si>
    <t>Đã qua khảo sát sơ bộ và đo đạc, CĐT đang bị chậm phần thô, chưa có trần và ốp lát và đang điều chỉnh phần thô, khách hẹn 2 tuần sau để xử lí phần thô. Dự kiến tuần 2 tháng 6 sẽ liên hệ lại</t>
  </si>
  <si>
    <t>Khách sạn Hạ Long</t>
  </si>
  <si>
    <t>Partner</t>
  </si>
  <si>
    <t>Đang chào thầu - đã gửi giá (Liên hệ cuối với Chị Dung bên GRD 25/5 CĐT đang yêu cầu làm rõ quy cách vật liệu và comment điều khoản song song)</t>
  </si>
  <si>
    <t>HK GLOBAL</t>
  </si>
  <si>
    <t>Tháng 7</t>
  </si>
  <si>
    <t>Tiềm năng</t>
  </si>
  <si>
    <t>Holding</t>
  </si>
  <si>
    <t>Đang trao đổi, chào giá với CĐT, Đã gửi báo giá 2/6 cho chị Trang, Chờ phản hồi</t>
  </si>
  <si>
    <t>Chị Huyền, Anh Trường</t>
  </si>
  <si>
    <t>Đã qua khảo sát đo đạc cùng KH, đã gửi báo giá V1, Đang sửa báo giá V2 (chờ thầu báo lại)</t>
  </si>
  <si>
    <t>Chị Ngân</t>
  </si>
  <si>
    <t>Đã qua khảo sát đo đạc. Đang lên báo giá và tư vấn dự kiến tuần 2 tháng 6 gửi</t>
  </si>
  <si>
    <t>Khách sạn Hạ Long
(Gói đồ rời)</t>
  </si>
  <si>
    <t>Đang LV với Chị Dung bên GRD đã gửi và điều chỉnh BG lần 3 06/06</t>
  </si>
  <si>
    <t>Chị Trường, Anh Giang</t>
  </si>
  <si>
    <t>WALK-IN</t>
  </si>
  <si>
    <t>Đag triển khai TK 3D.</t>
  </si>
  <si>
    <t>Vp AORA</t>
  </si>
  <si>
    <t>Đang làm phương án concept. Dự kiến gửi concept cho KH 14/6.
Dự kiến chốt thiết kế và chuyển đổi thi công 2 tỷ vào cuối tháng</t>
  </si>
  <si>
    <t>III</t>
  </si>
  <si>
    <t xml:space="preserve">Văn Phòng Tuyển Sinh Trường - tại Hà Nội 
Gửi báo giá 06/06/2026
Chờ Phòng dự án trình Chủ tịch </t>
  </si>
  <si>
    <t>Các lớp học khối trung học 
( đã gửi 3D, Báo giá cho CĐT ) 29/05
còn 3 phòng chức năng khác đang chạy 3D: dự kiến 09/06 trả CĐT
Phòng DA trình chủ tịch phê duyệt )</t>
  </si>
  <si>
    <t xml:space="preserve">Căn mẫu Sunshine </t>
  </si>
  <si>
    <t>Làm việc qua Ms Huyền GRD</t>
  </si>
  <si>
    <t>Phụ lục hợp đồng 01: 1.260.000.000 vnđ :( Ký HĐ+ Ck tiền) từ GRD
(GRD đã làm xong bảo lãnh với CĐT ) 
Phụ lục hợp đồng 02: 1.000.000.000 vnđ : 10/06 ký phát sinh 
CĐT đã chốt PA &amp; Speck vật liệu : 05/06/2026</t>
  </si>
  <si>
    <t>Đoàn Thị Điểm</t>
  </si>
  <si>
    <t xml:space="preserve">Đã chốt layout, Speck, 3D gửi CĐT : 10/06
Khái toán: đã gửi CĐT đồng ý khái toán </t>
  </si>
  <si>
    <t>Anh Tùng</t>
  </si>
  <si>
    <t>30/06</t>
  </si>
  <si>
    <t>Reference</t>
  </si>
  <si>
    <t xml:space="preserve">Đã gửi Dự toán : 22/05
CĐT đang hoàn thiện xây dựng </t>
  </si>
  <si>
    <t>Anh Nghĩa S8 (Biệt thự Đà Nẵng)</t>
  </si>
  <si>
    <t>Khách hàng đã gửi 3D,.2D : 22/05
Gửi Dự toán cho CĐT : 12/06/206</t>
  </si>
  <si>
    <t>Khách sạn chị Trang HP</t>
  </si>
  <si>
    <t>Khách hàng đã gửi 3D : Khu sảnh lobby, lễ tân &amp; Nhà Hàng 
Đã gửi Khái Toán : 28/05
điều chỉnh lại dự toán cân đối theo mức CĐT đầu tư 800 tr</t>
  </si>
  <si>
    <t>Hóa dầu Quảng Ninh</t>
  </si>
  <si>
    <t xml:space="preserve">BU1 &amp; BU2 &amp; BU3 </t>
  </si>
  <si>
    <t>Anh Trường (Long Biên)</t>
  </si>
  <si>
    <t>Facebook</t>
  </si>
  <si>
    <t xml:space="preserve">Đang thiết kế 3D </t>
  </si>
  <si>
    <t>Anh Vũ (Yên Hòa)</t>
  </si>
  <si>
    <t>Đã khảo sát, đang lên thiết kế 3D</t>
  </si>
  <si>
    <t>IV</t>
  </si>
  <si>
    <t>Anh Phú The Charm</t>
  </si>
  <si>
    <t>Đã ký HĐ khung, đang triển khai 3D, dự kiến cuối tháng 5 chuyển đổi thi công</t>
  </si>
  <si>
    <t>Thiết kế nhà a Hân - Thái Nguyên</t>
  </si>
  <si>
    <t>Sale tự kiếm</t>
  </si>
  <si>
    <t>Đang tư vấn thiết kế sơ bộ</t>
  </si>
  <si>
    <t>Booyoung - Campuchia</t>
  </si>
  <si>
    <t>Đối tác</t>
  </si>
  <si>
    <t>06/06 đã ok mẫu sơn, hàng hóa; CĐT yêu cầu điều chỉnh lại một chút kích thước.
Sang tuần sẽ đẩy hợp đồng để ký kết</t>
  </si>
  <si>
    <t>Chị Trang Timecity</t>
  </si>
  <si>
    <t>12/06/2026</t>
  </si>
  <si>
    <t>25/5 KH đã ký hợp đồng thiết kế
Dự kiến ký thi công vào đầu tháng 6</t>
  </si>
  <si>
    <t>Anh Ngọc</t>
  </si>
  <si>
    <t>KH đang điều chỉnh lại Layout</t>
  </si>
  <si>
    <t>HDB Thanh Trì</t>
  </si>
  <si>
    <t>04/06 đã đi gặp CĐT (sếp Trung đi cùng)
Đang điều chỉnh giá</t>
  </si>
  <si>
    <t>Cụm 36 Biệt thự Ecopark</t>
  </si>
  <si>
    <t>Tự kiếm</t>
  </si>
  <si>
    <t>29/05/2026 đã vào gặp chủ đầu tư với sếp Trung và sếp Thuân
07/06 gửi BOQ cho Ban Thư ký của Chủ Tịch để trình ký</t>
  </si>
  <si>
    <t>Minh Châu</t>
  </si>
  <si>
    <t>10/06/2026</t>
  </si>
  <si>
    <t>Đang triển khai 3D</t>
  </si>
  <si>
    <t>Chú Phước</t>
  </si>
  <si>
    <t>25/06/2026</t>
  </si>
  <si>
    <t>Khách đang xem dự thảo hợp đồng</t>
  </si>
  <si>
    <t>Nội thất 328 căn Chung cư Ecopark Sông Lam</t>
  </si>
  <si>
    <t>Tháng 8</t>
  </si>
  <si>
    <t>29/05/2026 vào gặp chủ đầu tư với sếp Trung và sếp Thuân</t>
  </si>
  <si>
    <t>Bệnh viện Thạch Thất</t>
  </si>
  <si>
    <t>CĐT đã có bảng báo giá, Đang đàm phán hợp đồng và giá để chốt ký hợp đồng</t>
  </si>
  <si>
    <t>TỔNG</t>
  </si>
  <si>
    <t>Trường Ardingly Lào Cai</t>
  </si>
  <si>
    <t>Nhà máy nước - BNA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</si>
</sst>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[$-1010000]d/m/yyyy;@"/>
  </numFmts>
  <fonts count="6" x14ac:knownFonts="1">
    <font>
      <sz val="11"/>
      <color theme="1"/>
      <name val="Arial"/>
      <family val="2"/>
      <charset val="163"/>
      <scheme val="minor"/>
    </font>
    <font>
      <sz val="13"/>
      <color theme="1"/>
      <name val="Times New Roman"/>
    </font>
    <font>
      <b/>
      <sz val="13"/>
      <color theme="1"/>
      <name val="Times New Roman"/>
    </font>
    <font>
      <sz val="13"/>
      <color rgb="FFFF0000"/>
      <name val="Times New Roman"/>
    </font>
    <font>
      <b/>
      <sz val="13"/>
      <color rgb="FFFF0000"/>
      <name val="Times New Roman"/>
    </font>
    <font>
      <b/>
      <sz val="1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164" fontId="4" fillId="4" borderId="7" xfId="0" applyNumberFormat="1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right" vertical="center" wrapText="1"/>
    </xf>
    <xf numFmtId="9" fontId="1" fillId="4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5" fontId="1" fillId="0" borderId="1" xfId="0" quotePrefix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L41" totalsRowShown="0" headerRowDxfId="16" dataDxfId="14" headerRowBorderDxfId="15" tableBorderDxfId="13" totalsRowBorderDxfId="12">
  <autoFilter ref="A3:L41" xr:uid="{00000000-0009-0000-0100-000005000000}"/>
  <tableColumns count="12">
    <tableColumn id="1" xr3:uid="{00000000-0010-0000-0000-000001000000}" name="STT" dataDxfId="11"/>
    <tableColumn id="2" xr3:uid="{00000000-0010-0000-0000-000002000000}" name="Phòng ban" dataDxfId="10"/>
    <tableColumn id="3" xr3:uid="{00000000-0010-0000-0000-000003000000}" name="Nhân viên" dataDxfId="9"/>
    <tableColumn id="4" xr3:uid="{00000000-0010-0000-0000-000004000000}" name="Khách hàng" dataDxfId="8"/>
    <tableColumn id="5" xr3:uid="{5682C788-4E13-4D00-AE71-99A0CE9107F4}" name="Đầu mối làm việc_x000a_(SĐT)" dataDxfId="7"/>
    <tableColumn id="12" xr3:uid="{2CF83ECE-3CD3-48FD-8820-02DB8F62181B}" name="Doanh số dự kiến ký" dataDxfId="6"/>
    <tableColumn id="6" xr3:uid="{00000000-0010-0000-0000-000006000000}" name="Thời gian dự kiến ký " dataDxfId="5"/>
    <tableColumn id="11" xr3:uid="{758AB0AB-3A74-4F15-820C-C43EB7995AC2}" name="Trạng thái" dataDxfId="4"/>
    <tableColumn id="7" xr3:uid="{00000000-0010-0000-0000-000007000000}" name="Nguồn lead" dataDxfId="3"/>
    <tableColumn id="8" xr3:uid="{00000000-0010-0000-0000-000008000000}" name="Mức độ tiềm năng" dataDxfId="2"/>
    <tableColumn id="9" xr3:uid="{00000000-0010-0000-0000-000009000000}" name="Tình trạng chăm lead" dataDxfId="1"/>
    <tableColumn id="10" xr3:uid="{00000000-0010-0000-0000-00000A000000}" name="Đề xuất Hỗ trợ từ BGĐ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pane xSplit="2" ySplit="3" topLeftCell="C31" activePane="bottomRight" state="frozen"/>
      <selection pane="topRight"/>
      <selection pane="bottomLeft"/>
      <selection pane="bottomRight" activeCell="F10" sqref="F10"/>
    </sheetView>
  </sheetViews>
  <sheetFormatPr defaultColWidth="9.125" defaultRowHeight="16.5" x14ac:dyDescent="0.2"/>
  <cols>
    <col min="1" max="1" width="9.125" style="19" customWidth="1"/>
    <col min="2" max="2" width="14.375" style="20" customWidth="1"/>
    <col min="3" max="3" width="23.125" style="19" customWidth="1"/>
    <col min="4" max="4" width="23.625" style="19" customWidth="1"/>
    <col min="5" max="5" width="24.875" style="19" hidden="1" customWidth="1"/>
    <col min="6" max="6" width="22.75" style="19" customWidth="1"/>
    <col min="7" max="7" width="15.875" style="25" customWidth="1"/>
    <col min="8" max="8" width="19.75" style="19" customWidth="1"/>
    <col min="9" max="9" width="23" style="19" customWidth="1"/>
    <col min="10" max="10" width="16.625" style="19" customWidth="1"/>
    <col min="11" max="11" width="53.125" style="19" customWidth="1"/>
    <col min="12" max="12" width="24" style="37" customWidth="1"/>
    <col min="13" max="16384" width="9.125" style="19"/>
  </cols>
  <sheetData>
    <row r="1" spans="1:14" ht="33.75" hidden="1" customHeight="1" x14ac:dyDescent="0.2">
      <c r="A1" s="44" t="s">
        <v>15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4" ht="8.25" hidden="1" customHeight="1" x14ac:dyDescent="0.2"/>
    <row r="3" spans="1:14" ht="54" customHeight="1" x14ac:dyDescent="0.2">
      <c r="A3" s="15" t="s">
        <v>16</v>
      </c>
      <c r="B3" s="16" t="s">
        <v>0</v>
      </c>
      <c r="C3" s="17" t="s">
        <v>1</v>
      </c>
      <c r="D3" s="17" t="s">
        <v>17</v>
      </c>
      <c r="E3" s="17" t="s">
        <v>18</v>
      </c>
      <c r="F3" s="17" t="s">
        <v>19</v>
      </c>
      <c r="G3" s="17" t="s">
        <v>20</v>
      </c>
      <c r="H3" s="17" t="s">
        <v>21</v>
      </c>
      <c r="I3" s="17" t="s">
        <v>22</v>
      </c>
      <c r="J3" s="17" t="s">
        <v>23</v>
      </c>
      <c r="K3" s="17" t="s">
        <v>24</v>
      </c>
      <c r="L3" s="18" t="s">
        <v>25</v>
      </c>
    </row>
    <row r="4" spans="1:14" s="21" customFormat="1" x14ac:dyDescent="0.2">
      <c r="A4" s="10" t="s">
        <v>26</v>
      </c>
      <c r="B4" s="6" t="s">
        <v>13</v>
      </c>
      <c r="C4" s="8"/>
      <c r="D4" s="8"/>
      <c r="E4" s="8"/>
      <c r="F4" s="9">
        <f>+SUBTOTAL(9,F5:F7)</f>
        <v>1250000000</v>
      </c>
      <c r="G4" s="14"/>
      <c r="H4" s="6"/>
      <c r="I4" s="6"/>
      <c r="J4" s="6"/>
      <c r="K4" s="8"/>
      <c r="L4" s="34"/>
    </row>
    <row r="5" spans="1:14" ht="56.25" customHeight="1" x14ac:dyDescent="0.2">
      <c r="A5" s="3">
        <v>1</v>
      </c>
      <c r="B5" s="4" t="s">
        <v>13</v>
      </c>
      <c r="C5" s="1" t="s">
        <v>14</v>
      </c>
      <c r="D5" s="1" t="s">
        <v>27</v>
      </c>
      <c r="E5" s="1" t="s">
        <v>28</v>
      </c>
      <c r="F5" s="2">
        <v>150000000</v>
      </c>
      <c r="G5" s="38" t="s">
        <v>29</v>
      </c>
      <c r="H5" s="1" t="s">
        <v>30</v>
      </c>
      <c r="I5" s="4" t="s">
        <v>31</v>
      </c>
      <c r="J5" s="13">
        <v>0.8</v>
      </c>
      <c r="K5" s="1" t="s">
        <v>32</v>
      </c>
      <c r="L5" s="35"/>
    </row>
    <row r="6" spans="1:14" ht="56.25" customHeight="1" x14ac:dyDescent="0.2">
      <c r="A6" s="3">
        <v>2</v>
      </c>
      <c r="B6" s="4" t="s">
        <v>13</v>
      </c>
      <c r="C6" s="1" t="s">
        <v>14</v>
      </c>
      <c r="D6" s="1" t="s">
        <v>33</v>
      </c>
      <c r="E6" s="1"/>
      <c r="F6" s="2">
        <v>400000000</v>
      </c>
      <c r="G6" s="38" t="s">
        <v>29</v>
      </c>
      <c r="H6" s="1" t="s">
        <v>30</v>
      </c>
      <c r="I6" s="4" t="s">
        <v>31</v>
      </c>
      <c r="J6" s="13">
        <v>0.7</v>
      </c>
      <c r="K6" s="1" t="s">
        <v>34</v>
      </c>
      <c r="L6" s="35"/>
    </row>
    <row r="7" spans="1:14" ht="73.5" customHeight="1" x14ac:dyDescent="0.2">
      <c r="A7" s="3">
        <v>3</v>
      </c>
      <c r="B7" s="4" t="s">
        <v>13</v>
      </c>
      <c r="C7" s="1" t="s">
        <v>14</v>
      </c>
      <c r="D7" s="1" t="s">
        <v>35</v>
      </c>
      <c r="E7" s="1"/>
      <c r="F7" s="2">
        <v>700000000</v>
      </c>
      <c r="G7" s="38" t="s">
        <v>36</v>
      </c>
      <c r="H7" s="1" t="s">
        <v>30</v>
      </c>
      <c r="I7" s="4" t="s">
        <v>31</v>
      </c>
      <c r="J7" s="13">
        <v>0.7</v>
      </c>
      <c r="K7" s="1" t="s">
        <v>37</v>
      </c>
      <c r="L7" s="35"/>
      <c r="M7" s="24"/>
      <c r="N7" s="24"/>
    </row>
    <row r="8" spans="1:14" s="23" customFormat="1" ht="23.25" customHeight="1" x14ac:dyDescent="0.2">
      <c r="A8" s="5" t="s">
        <v>38</v>
      </c>
      <c r="B8" s="6" t="s">
        <v>8</v>
      </c>
      <c r="C8" s="7"/>
      <c r="D8" s="8"/>
      <c r="E8" s="8"/>
      <c r="F8" s="9">
        <f>+SUBTOTAL(9,F9:F17)</f>
        <v>23990000000</v>
      </c>
      <c r="G8" s="39"/>
      <c r="H8" s="6"/>
      <c r="I8" s="6"/>
      <c r="J8" s="6"/>
      <c r="K8" s="8"/>
      <c r="L8" s="34"/>
    </row>
    <row r="9" spans="1:14" s="24" customFormat="1" ht="55.5" customHeight="1" x14ac:dyDescent="0.2">
      <c r="A9" s="11">
        <v>1</v>
      </c>
      <c r="B9" s="4" t="s">
        <v>8</v>
      </c>
      <c r="C9" s="12" t="s">
        <v>9</v>
      </c>
      <c r="D9" s="1" t="s">
        <v>119</v>
      </c>
      <c r="E9" s="1" t="s">
        <v>39</v>
      </c>
      <c r="F9" s="2">
        <v>2300000000</v>
      </c>
      <c r="G9" s="38" t="s">
        <v>36</v>
      </c>
      <c r="H9" s="1" t="s">
        <v>30</v>
      </c>
      <c r="I9" s="4" t="s">
        <v>40</v>
      </c>
      <c r="J9" s="13">
        <v>0.8</v>
      </c>
      <c r="K9" s="1" t="s">
        <v>41</v>
      </c>
      <c r="L9" s="35"/>
      <c r="M9" s="19"/>
      <c r="N9" s="19"/>
    </row>
    <row r="10" spans="1:14" ht="66" customHeight="1" x14ac:dyDescent="0.2">
      <c r="A10" s="11">
        <v>2</v>
      </c>
      <c r="B10" s="4" t="s">
        <v>8</v>
      </c>
      <c r="C10" s="12" t="s">
        <v>11</v>
      </c>
      <c r="D10" s="1" t="s">
        <v>42</v>
      </c>
      <c r="E10" s="1"/>
      <c r="F10" s="2">
        <v>1000000000</v>
      </c>
      <c r="G10" s="38" t="s">
        <v>36</v>
      </c>
      <c r="H10" s="1" t="s">
        <v>30</v>
      </c>
      <c r="I10" s="4" t="s">
        <v>43</v>
      </c>
      <c r="J10" s="13">
        <v>0.8</v>
      </c>
      <c r="K10" s="1" t="s">
        <v>44</v>
      </c>
      <c r="L10" s="35"/>
      <c r="M10" s="22"/>
    </row>
    <row r="11" spans="1:14" ht="74.25" customHeight="1" x14ac:dyDescent="0.2">
      <c r="A11" s="11">
        <v>3</v>
      </c>
      <c r="B11" s="4" t="s">
        <v>8</v>
      </c>
      <c r="C11" s="12" t="s">
        <v>9</v>
      </c>
      <c r="D11" s="1" t="s">
        <v>45</v>
      </c>
      <c r="E11" s="1"/>
      <c r="F11" s="2">
        <v>7000000000</v>
      </c>
      <c r="G11" s="38" t="s">
        <v>36</v>
      </c>
      <c r="H11" s="1" t="s">
        <v>30</v>
      </c>
      <c r="I11" s="4" t="s">
        <v>46</v>
      </c>
      <c r="J11" s="13">
        <v>0.7</v>
      </c>
      <c r="K11" s="1" t="s">
        <v>47</v>
      </c>
      <c r="L11" s="35"/>
      <c r="M11" s="22"/>
    </row>
    <row r="12" spans="1:14" ht="48.75" customHeight="1" x14ac:dyDescent="0.2">
      <c r="A12" s="11">
        <v>4</v>
      </c>
      <c r="B12" s="4" t="s">
        <v>8</v>
      </c>
      <c r="C12" s="12" t="s">
        <v>12</v>
      </c>
      <c r="D12" s="1" t="s">
        <v>48</v>
      </c>
      <c r="E12" s="1"/>
      <c r="F12" s="2">
        <v>8000000000</v>
      </c>
      <c r="G12" s="38" t="s">
        <v>49</v>
      </c>
      <c r="H12" s="4" t="s">
        <v>50</v>
      </c>
      <c r="I12" s="4" t="s">
        <v>51</v>
      </c>
      <c r="J12" s="13">
        <v>0.5</v>
      </c>
      <c r="K12" s="1" t="s">
        <v>52</v>
      </c>
      <c r="L12" s="35"/>
      <c r="M12" s="22"/>
    </row>
    <row r="13" spans="1:14" ht="74.25" customHeight="1" x14ac:dyDescent="0.2">
      <c r="A13" s="11">
        <v>5</v>
      </c>
      <c r="B13" s="4" t="s">
        <v>8</v>
      </c>
      <c r="C13" s="12" t="s">
        <v>9</v>
      </c>
      <c r="D13" s="12" t="s">
        <v>53</v>
      </c>
      <c r="E13" s="1"/>
      <c r="F13" s="2">
        <v>2500000000</v>
      </c>
      <c r="G13" s="38" t="s">
        <v>36</v>
      </c>
      <c r="H13" s="1" t="s">
        <v>30</v>
      </c>
      <c r="I13" s="4" t="s">
        <v>46</v>
      </c>
      <c r="J13" s="13">
        <v>0.6</v>
      </c>
      <c r="K13" s="1" t="s">
        <v>54</v>
      </c>
      <c r="L13" s="35"/>
      <c r="M13" s="22"/>
    </row>
    <row r="14" spans="1:14" ht="74.25" customHeight="1" x14ac:dyDescent="0.2">
      <c r="A14" s="11">
        <v>6</v>
      </c>
      <c r="B14" s="4" t="s">
        <v>8</v>
      </c>
      <c r="C14" s="12" t="s">
        <v>10</v>
      </c>
      <c r="D14" s="1" t="s">
        <v>55</v>
      </c>
      <c r="E14" s="1"/>
      <c r="F14" s="2">
        <v>500000000</v>
      </c>
      <c r="G14" s="38" t="s">
        <v>49</v>
      </c>
      <c r="H14" s="4" t="s">
        <v>50</v>
      </c>
      <c r="I14" s="4" t="s">
        <v>43</v>
      </c>
      <c r="J14" s="13">
        <v>0.7</v>
      </c>
      <c r="K14" s="1" t="s">
        <v>56</v>
      </c>
      <c r="L14" s="35"/>
      <c r="M14" s="22"/>
    </row>
    <row r="15" spans="1:14" ht="74.25" customHeight="1" x14ac:dyDescent="0.2">
      <c r="A15" s="11">
        <v>7</v>
      </c>
      <c r="B15" s="4" t="s">
        <v>8</v>
      </c>
      <c r="C15" s="12" t="s">
        <v>12</v>
      </c>
      <c r="D15" s="1" t="s">
        <v>57</v>
      </c>
      <c r="E15" s="1"/>
      <c r="F15" s="2">
        <v>190000000</v>
      </c>
      <c r="G15" s="38" t="s">
        <v>49</v>
      </c>
      <c r="H15" s="4" t="s">
        <v>50</v>
      </c>
      <c r="I15" s="4" t="s">
        <v>46</v>
      </c>
      <c r="J15" s="13">
        <v>0.7</v>
      </c>
      <c r="K15" s="1" t="s">
        <v>58</v>
      </c>
      <c r="L15" s="35"/>
      <c r="M15" s="22"/>
    </row>
    <row r="16" spans="1:14" ht="74.25" customHeight="1" x14ac:dyDescent="0.2">
      <c r="A16" s="11">
        <v>8</v>
      </c>
      <c r="B16" s="4" t="s">
        <v>8</v>
      </c>
      <c r="C16" s="12" t="s">
        <v>12</v>
      </c>
      <c r="D16" s="1" t="s">
        <v>59</v>
      </c>
      <c r="E16" s="1"/>
      <c r="F16" s="2">
        <v>500000000</v>
      </c>
      <c r="G16" s="38" t="s">
        <v>36</v>
      </c>
      <c r="H16" s="1" t="s">
        <v>30</v>
      </c>
      <c r="I16" s="4" t="s">
        <v>60</v>
      </c>
      <c r="J16" s="13">
        <v>0.7</v>
      </c>
      <c r="K16" s="1" t="s">
        <v>61</v>
      </c>
      <c r="L16" s="35"/>
      <c r="M16" s="22"/>
    </row>
    <row r="17" spans="1:14" ht="74.25" customHeight="1" x14ac:dyDescent="0.2">
      <c r="A17" s="11">
        <v>9</v>
      </c>
      <c r="B17" s="4" t="s">
        <v>8</v>
      </c>
      <c r="C17" s="12" t="s">
        <v>10</v>
      </c>
      <c r="D17" s="1" t="s">
        <v>62</v>
      </c>
      <c r="E17" s="1"/>
      <c r="F17" s="2">
        <v>2000000000</v>
      </c>
      <c r="G17" s="38" t="s">
        <v>36</v>
      </c>
      <c r="H17" s="1" t="s">
        <v>30</v>
      </c>
      <c r="I17" s="4" t="s">
        <v>43</v>
      </c>
      <c r="J17" s="13">
        <v>0.6</v>
      </c>
      <c r="K17" s="1" t="s">
        <v>63</v>
      </c>
      <c r="L17" s="35"/>
      <c r="M17" s="22"/>
    </row>
    <row r="18" spans="1:14" ht="26.25" customHeight="1" x14ac:dyDescent="0.2">
      <c r="A18" s="5" t="s">
        <v>64</v>
      </c>
      <c r="B18" s="6" t="s">
        <v>6</v>
      </c>
      <c r="C18" s="7"/>
      <c r="D18" s="8"/>
      <c r="E18" s="8"/>
      <c r="F18" s="9">
        <f>+SUBTOTAL(9,F19:F28)</f>
        <v>20450000000</v>
      </c>
      <c r="G18" s="6"/>
      <c r="H18" s="6"/>
      <c r="I18" s="6"/>
      <c r="J18" s="6"/>
      <c r="K18" s="8"/>
      <c r="L18" s="34"/>
    </row>
    <row r="19" spans="1:14" ht="51" customHeight="1" x14ac:dyDescent="0.2">
      <c r="A19" s="3">
        <v>1</v>
      </c>
      <c r="B19" s="4" t="s">
        <v>6</v>
      </c>
      <c r="C19" s="1" t="s">
        <v>7</v>
      </c>
      <c r="D19" s="1" t="s">
        <v>118</v>
      </c>
      <c r="E19" s="1"/>
      <c r="F19" s="2">
        <v>3000000000</v>
      </c>
      <c r="G19" s="4" t="s">
        <v>36</v>
      </c>
      <c r="H19" s="1" t="s">
        <v>30</v>
      </c>
      <c r="I19" s="4" t="s">
        <v>46</v>
      </c>
      <c r="J19" s="13">
        <v>0.7</v>
      </c>
      <c r="K19" s="40" t="s">
        <v>65</v>
      </c>
      <c r="L19" s="35"/>
      <c r="M19" s="24"/>
      <c r="N19" s="24"/>
    </row>
    <row r="20" spans="1:14" ht="92.25" customHeight="1" x14ac:dyDescent="0.2">
      <c r="A20" s="3">
        <v>2</v>
      </c>
      <c r="B20" s="4" t="s">
        <v>6</v>
      </c>
      <c r="C20" s="1" t="s">
        <v>7</v>
      </c>
      <c r="D20" s="1" t="s">
        <v>118</v>
      </c>
      <c r="E20" s="1"/>
      <c r="F20" s="2">
        <v>2000000000</v>
      </c>
      <c r="G20" s="4" t="s">
        <v>36</v>
      </c>
      <c r="H20" s="1" t="s">
        <v>30</v>
      </c>
      <c r="I20" s="4" t="s">
        <v>46</v>
      </c>
      <c r="J20" s="13">
        <v>0.7</v>
      </c>
      <c r="K20" s="40" t="s">
        <v>66</v>
      </c>
      <c r="L20" s="35"/>
      <c r="M20" s="24"/>
      <c r="N20" s="24"/>
    </row>
    <row r="21" spans="1:14" ht="111.75" customHeight="1" x14ac:dyDescent="0.2">
      <c r="A21" s="3">
        <v>3</v>
      </c>
      <c r="B21" s="4" t="s">
        <v>6</v>
      </c>
      <c r="C21" s="1" t="s">
        <v>7</v>
      </c>
      <c r="D21" s="1" t="s">
        <v>67</v>
      </c>
      <c r="E21" s="1" t="s">
        <v>68</v>
      </c>
      <c r="F21" s="2">
        <v>2100000000</v>
      </c>
      <c r="G21" s="4" t="s">
        <v>36</v>
      </c>
      <c r="H21" s="1" t="s">
        <v>30</v>
      </c>
      <c r="I21" s="4" t="s">
        <v>46</v>
      </c>
      <c r="J21" s="13">
        <v>0.9</v>
      </c>
      <c r="K21" s="40" t="s">
        <v>69</v>
      </c>
      <c r="L21" s="35"/>
      <c r="M21" s="24"/>
      <c r="N21" s="24"/>
    </row>
    <row r="22" spans="1:14" ht="40.5" customHeight="1" x14ac:dyDescent="0.2">
      <c r="A22" s="3">
        <v>4</v>
      </c>
      <c r="B22" s="4" t="s">
        <v>6</v>
      </c>
      <c r="C22" s="1" t="s">
        <v>7</v>
      </c>
      <c r="D22" s="1" t="s">
        <v>70</v>
      </c>
      <c r="E22" s="1"/>
      <c r="F22" s="2">
        <v>600000000</v>
      </c>
      <c r="G22" s="4" t="s">
        <v>36</v>
      </c>
      <c r="H22" s="1" t="s">
        <v>30</v>
      </c>
      <c r="I22" s="4" t="s">
        <v>46</v>
      </c>
      <c r="J22" s="13">
        <v>1</v>
      </c>
      <c r="K22" s="40" t="s">
        <v>71</v>
      </c>
      <c r="L22" s="35"/>
      <c r="M22" s="24"/>
      <c r="N22" s="24"/>
    </row>
    <row r="23" spans="1:14" ht="41.25" customHeight="1" x14ac:dyDescent="0.2">
      <c r="A23" s="3">
        <v>5</v>
      </c>
      <c r="B23" s="4" t="s">
        <v>6</v>
      </c>
      <c r="C23" s="1" t="s">
        <v>7</v>
      </c>
      <c r="D23" s="1" t="s">
        <v>72</v>
      </c>
      <c r="E23" s="1"/>
      <c r="F23" s="2">
        <v>2900000000</v>
      </c>
      <c r="G23" s="38" t="s">
        <v>73</v>
      </c>
      <c r="H23" s="1" t="s">
        <v>30</v>
      </c>
      <c r="I23" s="4" t="s">
        <v>74</v>
      </c>
      <c r="J23" s="13">
        <v>0.7</v>
      </c>
      <c r="K23" s="1" t="s">
        <v>75</v>
      </c>
      <c r="L23" s="35"/>
      <c r="M23" s="24"/>
      <c r="N23" s="24"/>
    </row>
    <row r="24" spans="1:14" ht="39.75" customHeight="1" x14ac:dyDescent="0.2">
      <c r="A24" s="3">
        <v>6</v>
      </c>
      <c r="B24" s="4" t="s">
        <v>6</v>
      </c>
      <c r="C24" s="1" t="s">
        <v>7</v>
      </c>
      <c r="D24" s="1" t="s">
        <v>76</v>
      </c>
      <c r="E24" s="1"/>
      <c r="F24" s="2">
        <v>500000000</v>
      </c>
      <c r="G24" s="38" t="s">
        <v>36</v>
      </c>
      <c r="H24" s="1" t="s">
        <v>30</v>
      </c>
      <c r="I24" s="4" t="s">
        <v>46</v>
      </c>
      <c r="J24" s="13">
        <v>0.7</v>
      </c>
      <c r="K24" s="1" t="s">
        <v>77</v>
      </c>
      <c r="L24" s="35"/>
      <c r="M24" s="24"/>
      <c r="N24" s="24"/>
    </row>
    <row r="25" spans="1:14" ht="87" customHeight="1" x14ac:dyDescent="0.2">
      <c r="A25" s="3">
        <v>7</v>
      </c>
      <c r="B25" s="4" t="s">
        <v>6</v>
      </c>
      <c r="C25" s="1" t="s">
        <v>7</v>
      </c>
      <c r="D25" s="1" t="s">
        <v>78</v>
      </c>
      <c r="E25" s="1"/>
      <c r="F25" s="2">
        <v>800000000</v>
      </c>
      <c r="G25" s="38" t="s">
        <v>36</v>
      </c>
      <c r="H25" s="1" t="s">
        <v>30</v>
      </c>
      <c r="I25" s="4" t="s">
        <v>31</v>
      </c>
      <c r="J25" s="13">
        <v>0.7</v>
      </c>
      <c r="K25" s="1" t="s">
        <v>79</v>
      </c>
      <c r="L25" s="35"/>
      <c r="M25" s="24"/>
      <c r="N25" s="24"/>
    </row>
    <row r="26" spans="1:14" ht="39" customHeight="1" x14ac:dyDescent="0.2">
      <c r="A26" s="3">
        <v>8</v>
      </c>
      <c r="B26" s="4" t="s">
        <v>6</v>
      </c>
      <c r="C26" s="1" t="s">
        <v>7</v>
      </c>
      <c r="D26" s="1" t="s">
        <v>80</v>
      </c>
      <c r="E26" s="1"/>
      <c r="F26" s="2">
        <v>8000000000</v>
      </c>
      <c r="G26" s="38" t="s">
        <v>36</v>
      </c>
      <c r="H26" s="1" t="s">
        <v>30</v>
      </c>
      <c r="I26" s="4" t="s">
        <v>51</v>
      </c>
      <c r="J26" s="13">
        <v>1</v>
      </c>
      <c r="K26" s="42" t="s">
        <v>81</v>
      </c>
      <c r="L26" s="35"/>
    </row>
    <row r="27" spans="1:14" ht="38.25" customHeight="1" x14ac:dyDescent="0.2">
      <c r="A27" s="3">
        <v>9</v>
      </c>
      <c r="B27" s="4" t="s">
        <v>6</v>
      </c>
      <c r="C27" s="1" t="s">
        <v>7</v>
      </c>
      <c r="D27" s="1" t="s">
        <v>82</v>
      </c>
      <c r="E27" s="1"/>
      <c r="F27" s="2">
        <v>250000000</v>
      </c>
      <c r="G27" s="38" t="s">
        <v>36</v>
      </c>
      <c r="H27" s="1" t="s">
        <v>30</v>
      </c>
      <c r="I27" s="4" t="s">
        <v>83</v>
      </c>
      <c r="J27" s="13">
        <v>0.6</v>
      </c>
      <c r="K27" s="1" t="s">
        <v>84</v>
      </c>
      <c r="L27" s="35"/>
    </row>
    <row r="28" spans="1:14" ht="36" customHeight="1" x14ac:dyDescent="0.2">
      <c r="A28" s="3">
        <v>10</v>
      </c>
      <c r="B28" s="4" t="s">
        <v>6</v>
      </c>
      <c r="C28" s="1" t="s">
        <v>7</v>
      </c>
      <c r="D28" s="1" t="s">
        <v>85</v>
      </c>
      <c r="E28" s="1"/>
      <c r="F28" s="2">
        <v>300000000</v>
      </c>
      <c r="G28" s="38" t="s">
        <v>36</v>
      </c>
      <c r="H28" s="1" t="s">
        <v>30</v>
      </c>
      <c r="I28" s="4" t="s">
        <v>31</v>
      </c>
      <c r="J28" s="13">
        <v>0.6</v>
      </c>
      <c r="K28" s="1" t="s">
        <v>86</v>
      </c>
      <c r="L28" s="35"/>
    </row>
    <row r="29" spans="1:14" ht="27.75" customHeight="1" x14ac:dyDescent="0.2">
      <c r="A29" s="5" t="s">
        <v>87</v>
      </c>
      <c r="B29" s="6" t="s">
        <v>2</v>
      </c>
      <c r="C29" s="7"/>
      <c r="D29" s="8"/>
      <c r="E29" s="8"/>
      <c r="F29" s="9">
        <f>+SUBTOTAL(9,F30:F40)</f>
        <v>310840000000</v>
      </c>
      <c r="G29" s="6"/>
      <c r="H29" s="6"/>
      <c r="I29" s="6"/>
      <c r="J29" s="6"/>
      <c r="K29" s="8"/>
      <c r="L29" s="34"/>
    </row>
    <row r="30" spans="1:14" ht="47.25" customHeight="1" x14ac:dyDescent="0.2">
      <c r="A30" s="11">
        <v>1</v>
      </c>
      <c r="B30" s="4" t="s">
        <v>2</v>
      </c>
      <c r="C30" s="1" t="s">
        <v>4</v>
      </c>
      <c r="D30" s="1" t="s">
        <v>88</v>
      </c>
      <c r="E30" s="1"/>
      <c r="F30" s="2">
        <v>300000000</v>
      </c>
      <c r="G30" s="38" t="s">
        <v>36</v>
      </c>
      <c r="H30" s="1" t="s">
        <v>30</v>
      </c>
      <c r="I30" s="4" t="s">
        <v>43</v>
      </c>
      <c r="J30" s="13">
        <v>0.9</v>
      </c>
      <c r="K30" s="1" t="s">
        <v>89</v>
      </c>
      <c r="L30" s="35"/>
    </row>
    <row r="31" spans="1:14" ht="51.75" customHeight="1" x14ac:dyDescent="0.2">
      <c r="A31" s="11">
        <v>2</v>
      </c>
      <c r="B31" s="4" t="s">
        <v>2</v>
      </c>
      <c r="C31" s="12" t="s">
        <v>3</v>
      </c>
      <c r="D31" s="1" t="s">
        <v>90</v>
      </c>
      <c r="E31" s="1"/>
      <c r="F31" s="2">
        <v>80000000</v>
      </c>
      <c r="G31" s="38" t="s">
        <v>36</v>
      </c>
      <c r="H31" s="1" t="s">
        <v>30</v>
      </c>
      <c r="I31" s="4" t="s">
        <v>91</v>
      </c>
      <c r="J31" s="13">
        <v>0.7</v>
      </c>
      <c r="K31" s="1" t="s">
        <v>92</v>
      </c>
      <c r="L31" s="35"/>
    </row>
    <row r="32" spans="1:14" s="24" customFormat="1" ht="51.75" customHeight="1" x14ac:dyDescent="0.2">
      <c r="A32" s="3">
        <v>3</v>
      </c>
      <c r="B32" s="4" t="s">
        <v>2</v>
      </c>
      <c r="C32" s="1" t="s">
        <v>3</v>
      </c>
      <c r="D32" s="1" t="s">
        <v>93</v>
      </c>
      <c r="E32" s="1"/>
      <c r="F32" s="2">
        <v>30000000000</v>
      </c>
      <c r="G32" s="38" t="s">
        <v>36</v>
      </c>
      <c r="H32" s="1" t="s">
        <v>30</v>
      </c>
      <c r="I32" s="4" t="s">
        <v>94</v>
      </c>
      <c r="J32" s="13">
        <v>0.8</v>
      </c>
      <c r="K32" s="1" t="s">
        <v>95</v>
      </c>
      <c r="L32" s="35"/>
    </row>
    <row r="33" spans="1:12" ht="45" customHeight="1" x14ac:dyDescent="0.2">
      <c r="A33" s="11">
        <v>4</v>
      </c>
      <c r="B33" s="4" t="s">
        <v>2</v>
      </c>
      <c r="C33" s="12" t="s">
        <v>5</v>
      </c>
      <c r="D33" s="1" t="s">
        <v>96</v>
      </c>
      <c r="E33" s="41"/>
      <c r="F33" s="2">
        <v>95000000</v>
      </c>
      <c r="G33" s="43" t="s">
        <v>97</v>
      </c>
      <c r="H33" s="1" t="s">
        <v>30</v>
      </c>
      <c r="I33" s="4" t="s">
        <v>43</v>
      </c>
      <c r="J33" s="13">
        <v>0.6</v>
      </c>
      <c r="K33" s="40" t="s">
        <v>98</v>
      </c>
      <c r="L33" s="35"/>
    </row>
    <row r="34" spans="1:12" ht="46.5" customHeight="1" x14ac:dyDescent="0.2">
      <c r="A34" s="11">
        <v>5</v>
      </c>
      <c r="B34" s="4" t="s">
        <v>2</v>
      </c>
      <c r="C34" s="12" t="s">
        <v>4</v>
      </c>
      <c r="D34" s="1" t="s">
        <v>99</v>
      </c>
      <c r="E34" s="41"/>
      <c r="F34" s="2">
        <v>100000000</v>
      </c>
      <c r="G34" s="43" t="s">
        <v>97</v>
      </c>
      <c r="H34" s="1" t="s">
        <v>30</v>
      </c>
      <c r="I34" s="4" t="s">
        <v>43</v>
      </c>
      <c r="J34" s="13">
        <v>0.7</v>
      </c>
      <c r="K34" s="40" t="s">
        <v>100</v>
      </c>
      <c r="L34" s="35"/>
    </row>
    <row r="35" spans="1:12" ht="39" customHeight="1" x14ac:dyDescent="0.2">
      <c r="A35" s="3">
        <v>6</v>
      </c>
      <c r="B35" s="4" t="s">
        <v>2</v>
      </c>
      <c r="C35" s="12" t="s">
        <v>3</v>
      </c>
      <c r="D35" s="1" t="s">
        <v>101</v>
      </c>
      <c r="E35" s="41"/>
      <c r="F35" s="2">
        <v>60000000000</v>
      </c>
      <c r="G35" s="38" t="s">
        <v>49</v>
      </c>
      <c r="H35" s="4" t="s">
        <v>50</v>
      </c>
      <c r="I35" s="4" t="s">
        <v>94</v>
      </c>
      <c r="J35" s="13">
        <v>0.8</v>
      </c>
      <c r="K35" s="40" t="s">
        <v>102</v>
      </c>
      <c r="L35" s="35"/>
    </row>
    <row r="36" spans="1:12" ht="67.5" customHeight="1" x14ac:dyDescent="0.2">
      <c r="A36" s="11">
        <v>7</v>
      </c>
      <c r="B36" s="4" t="s">
        <v>2</v>
      </c>
      <c r="C36" s="12" t="s">
        <v>3</v>
      </c>
      <c r="D36" s="1" t="s">
        <v>103</v>
      </c>
      <c r="E36" s="41"/>
      <c r="F36" s="2">
        <v>60000000000</v>
      </c>
      <c r="G36" s="38" t="s">
        <v>36</v>
      </c>
      <c r="H36" s="1" t="s">
        <v>30</v>
      </c>
      <c r="I36" s="4" t="s">
        <v>104</v>
      </c>
      <c r="J36" s="13">
        <v>0.8</v>
      </c>
      <c r="K36" s="40" t="s">
        <v>105</v>
      </c>
      <c r="L36" s="35"/>
    </row>
    <row r="37" spans="1:12" ht="49.5" customHeight="1" x14ac:dyDescent="0.2">
      <c r="A37" s="11">
        <v>8</v>
      </c>
      <c r="B37" s="4" t="s">
        <v>2</v>
      </c>
      <c r="C37" s="12" t="s">
        <v>5</v>
      </c>
      <c r="D37" s="1" t="s">
        <v>106</v>
      </c>
      <c r="E37" s="41"/>
      <c r="F37" s="2">
        <v>115000000</v>
      </c>
      <c r="G37" s="43" t="s">
        <v>107</v>
      </c>
      <c r="H37" s="1" t="s">
        <v>30</v>
      </c>
      <c r="I37" s="4" t="s">
        <v>43</v>
      </c>
      <c r="J37" s="13">
        <v>0.8</v>
      </c>
      <c r="K37" s="40" t="s">
        <v>108</v>
      </c>
      <c r="L37" s="35"/>
    </row>
    <row r="38" spans="1:12" ht="49.5" customHeight="1" x14ac:dyDescent="0.2">
      <c r="A38" s="3">
        <v>9</v>
      </c>
      <c r="B38" s="4" t="s">
        <v>2</v>
      </c>
      <c r="C38" s="12" t="s">
        <v>5</v>
      </c>
      <c r="D38" s="1" t="s">
        <v>109</v>
      </c>
      <c r="E38" s="41"/>
      <c r="F38" s="2">
        <v>150000000</v>
      </c>
      <c r="G38" s="43" t="s">
        <v>110</v>
      </c>
      <c r="H38" s="1" t="s">
        <v>30</v>
      </c>
      <c r="I38" s="4" t="s">
        <v>43</v>
      </c>
      <c r="J38" s="13">
        <v>0.75</v>
      </c>
      <c r="K38" s="40" t="s">
        <v>111</v>
      </c>
      <c r="L38" s="35"/>
    </row>
    <row r="39" spans="1:12" ht="68.25" customHeight="1" x14ac:dyDescent="0.2">
      <c r="A39" s="11">
        <v>10</v>
      </c>
      <c r="B39" s="4" t="s">
        <v>2</v>
      </c>
      <c r="C39" s="12" t="s">
        <v>3</v>
      </c>
      <c r="D39" s="1" t="s">
        <v>112</v>
      </c>
      <c r="E39" s="41"/>
      <c r="F39" s="2">
        <v>80000000000</v>
      </c>
      <c r="G39" s="38" t="s">
        <v>113</v>
      </c>
      <c r="H39" s="4" t="s">
        <v>50</v>
      </c>
      <c r="I39" s="4" t="s">
        <v>104</v>
      </c>
      <c r="J39" s="13">
        <v>0.8</v>
      </c>
      <c r="K39" s="40" t="s">
        <v>114</v>
      </c>
      <c r="L39" s="35"/>
    </row>
    <row r="40" spans="1:12" ht="68.25" customHeight="1" x14ac:dyDescent="0.2">
      <c r="A40" s="11">
        <v>11</v>
      </c>
      <c r="B40" s="4" t="s">
        <v>2</v>
      </c>
      <c r="C40" s="12" t="s">
        <v>3</v>
      </c>
      <c r="D40" s="1" t="s">
        <v>115</v>
      </c>
      <c r="E40" s="41"/>
      <c r="F40" s="2">
        <v>80000000000</v>
      </c>
      <c r="G40" s="38" t="s">
        <v>36</v>
      </c>
      <c r="H40" s="1" t="s">
        <v>30</v>
      </c>
      <c r="I40" s="4" t="s">
        <v>94</v>
      </c>
      <c r="J40" s="13">
        <v>0.8</v>
      </c>
      <c r="K40" s="40" t="s">
        <v>116</v>
      </c>
      <c r="L40" s="35"/>
    </row>
    <row r="41" spans="1:12" ht="22.5" customHeight="1" x14ac:dyDescent="0.2">
      <c r="A41" s="27"/>
      <c r="B41" s="28" t="s">
        <v>117</v>
      </c>
      <c r="C41" s="29"/>
      <c r="D41" s="30"/>
      <c r="E41" s="30"/>
      <c r="F41" s="31">
        <f>SUBTOTAL(9,F4:F40)</f>
        <v>356530000000</v>
      </c>
      <c r="G41" s="32"/>
      <c r="H41" s="30"/>
      <c r="I41" s="30"/>
      <c r="J41" s="33"/>
      <c r="K41" s="30"/>
      <c r="L41" s="36"/>
    </row>
    <row r="42" spans="1:12" x14ac:dyDescent="0.2">
      <c r="F42" s="22"/>
      <c r="G42" s="26"/>
    </row>
    <row r="43" spans="1:12" ht="46.5" customHeight="1" x14ac:dyDescent="0.2"/>
    <row r="44" spans="1:12" ht="46.5" customHeight="1" x14ac:dyDescent="0.2"/>
    <row r="45" spans="1:12" ht="25.5" customHeight="1" x14ac:dyDescent="0.2"/>
  </sheetData>
  <mergeCells count="1">
    <mergeCell ref="A1:L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dự kiến ký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FF-PC06</dc:creator>
  <cp:keywords/>
  <dc:description/>
  <cp:lastModifiedBy>Nguyễn Thị Mơ</cp:lastModifiedBy>
  <cp:revision/>
  <dcterms:created xsi:type="dcterms:W3CDTF">2025-11-13T08:26:10Z</dcterms:created>
  <dcterms:modified xsi:type="dcterms:W3CDTF">2026-06-21T11:06:04Z</dcterms:modified>
  <cp:category/>
  <cp:contentStatus/>
</cp:coreProperties>
</file>