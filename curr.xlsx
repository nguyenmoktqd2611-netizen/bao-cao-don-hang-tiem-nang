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228"/>
  <workbookPr/>
  <mc:AlternateContent xmlns:mc="http://schemas.openxmlformats.org/markup-compatibility/2006">
    <mc:Choice Requires="x15">
      <x15ac:absPath xmlns:x15ac="http://schemas.microsoft.com/office/spreadsheetml/2010/11/ac" url="https://flexfitcom-my.sharepoint.com/personal/mont_flexfit_vn/Documents/MONT/Báo cáo doanh số/Báo cáo tiềm năng/"/>
    </mc:Choice>
  </mc:AlternateContent>
  <xr:revisionPtr revIDLastSave="1" documentId="8_{3AD2ED15-397E-4A34-ABEF-637B4DC470FD}" xr6:coauthVersionLast="47" xr6:coauthVersionMax="47" xr10:uidLastSave="{715886A1-FC13-4E0D-B43F-CB09784FC502}"/>
  <bookViews>
    <workbookView xWindow="-120" yWindow="-120" windowWidth="29040" windowHeight="15840" firstSheet="1" activeTab="1" xr2:uid="{00000000-000D-0000-FFFF-FFFF00000000}"/>
  </bookViews>
  <sheets>
    <sheet name="Report" sheetId="6" r:id="rId1"/>
    <sheet name="Danh sách dự kiến ký" sheetId="1" r:id="rId2"/>
  </sheets>
  <definedNames>
    <definedName name="Slicer_Trạng_thái">#N/A</definedName>
  </definedNames>
  <calcPr calcId="191028" calcOnSave="0"/>
  <pivotCaches>
    <pivotCache cacheId="0"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8" i="1" l="1"/>
  <c r="A38" i="1"/>
  <c r="A39" i="1" s="1"/>
  <c r="A40" i="1" s="1"/>
  <c r="A41" i="1" s="1"/>
  <c r="A42" i="1" s="1"/>
  <c r="A43" i="1" s="1"/>
  <c r="A44" i="1" s="1"/>
  <c r="A45" i="1" s="1"/>
  <c r="A46" i="1" s="1"/>
  <c r="F36" i="1"/>
  <c r="F24" i="1"/>
  <c r="F4" i="1"/>
  <c r="F48" i="1" s="1"/>
</calcChain>
</file>

<file path=xl/sharedStrings.xml><?xml version="1.0" encoding="utf-8"?>
<sst xmlns="http://schemas.openxmlformats.org/spreadsheetml/2006/main" count="322" uniqueCount="139">
  <si>
    <t>Phòng ban</t>
  </si>
  <si>
    <t>Nhân viên</t>
  </si>
  <si>
    <t xml:space="preserve"> Doanh số dự kiến ký</t>
  </si>
  <si>
    <t>BU 3</t>
  </si>
  <si>
    <t>Ngô Thanh Tùng</t>
  </si>
  <si>
    <t>Dương Xuân Thái</t>
  </si>
  <si>
    <t>Nguyễn Kiều Vân</t>
  </si>
  <si>
    <t>BU 2</t>
  </si>
  <si>
    <t>Lê Thị Hằng</t>
  </si>
  <si>
    <t>BU 1</t>
  </si>
  <si>
    <t>Hoàng Xuân Sơn</t>
  </si>
  <si>
    <t>Nguyễn Lâm Vũ</t>
  </si>
  <si>
    <t>Đinh Ngọc Thịnh</t>
  </si>
  <si>
    <t>Lê Thị Sao Mai</t>
  </si>
  <si>
    <t>BU HCM</t>
  </si>
  <si>
    <t>Nguyễn Thanh Bình</t>
  </si>
  <si>
    <t>Grand Total</t>
  </si>
  <si>
    <t>`</t>
  </si>
  <si>
    <t>DANH SÁCH CÁC LEAD DỰ KIẾN KÝ THÁNG + TIỀM NĂNG</t>
  </si>
  <si>
    <t>STT</t>
  </si>
  <si>
    <t>Khách hàng</t>
  </si>
  <si>
    <t>Đầu mối làm việc
(SĐT)</t>
  </si>
  <si>
    <t>Doanh số dự kiến ký</t>
  </si>
  <si>
    <t>Margin dự kiến</t>
  </si>
  <si>
    <t xml:space="preserve">Thời gian dự kiến ký </t>
  </si>
  <si>
    <t>Trạng thái</t>
  </si>
  <si>
    <t>Nguồn lead</t>
  </si>
  <si>
    <t>Mức độ tiềm năng</t>
  </si>
  <si>
    <t>Tình trạng chăm lead</t>
  </si>
  <si>
    <t>Đề xuất Hỗ trợ từ BGĐ</t>
  </si>
  <si>
    <t>I</t>
  </si>
  <si>
    <t>Khách sạn Đà Lạt</t>
  </si>
  <si>
    <t>anh Nam: 0912149609</t>
  </si>
  <si>
    <t>Tháng 6</t>
  </si>
  <si>
    <t>Dự kiến ký tháng</t>
  </si>
  <si>
    <t>Customer</t>
  </si>
  <si>
    <t xml:space="preserve">Đã gửi báo giá cho BU 1 gửi khách, đang chờ khách đánh giá và trao đổi. </t>
  </si>
  <si>
    <t>Phát sinh KS Phú Quốc</t>
  </si>
  <si>
    <t>Gửi báo giá phát sinh ngày 23/05
QS đang trình sếp Khôi Nguyên duyệt, dự kiến đầu tuần tới ký</t>
  </si>
  <si>
    <t>Phát sinh Netnam</t>
  </si>
  <si>
    <t>22-24/06</t>
  </si>
  <si>
    <t>II</t>
  </si>
  <si>
    <t>Anh Thanh</t>
  </si>
  <si>
    <t>Tháng 7</t>
  </si>
  <si>
    <t>Tiềm năng</t>
  </si>
  <si>
    <t>MKT</t>
  </si>
  <si>
    <t>Khách đang làm thiết kế bên khác, đang chỉnh sửa 3D và thích sản phẩm thi công bên mình. Dự kiến tháng 7 hoàn thiện.</t>
  </si>
  <si>
    <t>anh Quyết</t>
  </si>
  <si>
    <t>20/06 liên hệ lại khách. Khách vẫn đang triển khai chậm phần thô. Khách hẹn sẽ báo lại vì đang băn khoăn thiết kế phòng khách. Đã ok hỗ trợ khách thiết kế lại phòng khách để triển khai thi công.</t>
  </si>
  <si>
    <t>Khách sạn Hạ Long</t>
  </si>
  <si>
    <t>Partner</t>
  </si>
  <si>
    <t>Đang chỉnh sửa báo giá</t>
  </si>
  <si>
    <t>Căn mẫu KS Hạ Long (Gói đồ rời)</t>
  </si>
  <si>
    <t>Đang giai đoạn đàm phán về các điều khoản của hợp đồng.</t>
  </si>
  <si>
    <t>HK GLOBAL</t>
  </si>
  <si>
    <t>Holding</t>
  </si>
  <si>
    <t xml:space="preserve">Update 13/06 đang trao đổi tiến độ báo giá, thi công căn mẫu ngày 10/6. Dự kiến 15/06 kí thỏa thuận hợp tác HK và FFok </t>
  </si>
  <si>
    <t>Chị Huyền, Anh Trường</t>
  </si>
  <si>
    <t>Đã gửi báo giá ngày 11/6. Đang chờ khách tham khảo và phản hồi</t>
  </si>
  <si>
    <t>Chị Ngân</t>
  </si>
  <si>
    <t>Đã qua khảo sát đo đạc. Đang lên báo giá và tư vấn dự kiến sang tuần gửi khách</t>
  </si>
  <si>
    <t>Chị Trường, Anh Giang</t>
  </si>
  <si>
    <t>WALK-IN</t>
  </si>
  <si>
    <t xml:space="preserve">Đã ký 3D, Đag triển khai TK 3D. </t>
  </si>
  <si>
    <t>Nguyễn Ngọc Thanh</t>
  </si>
  <si>
    <t>Chị Nguyệt Anh</t>
  </si>
  <si>
    <t>Gửi phương án concept cho KH 10/6.
Dự kiến chốt thiết kế và chuyển đổi thi công 400 tr vào cuối tháng</t>
  </si>
  <si>
    <t>Vũ Ánh Dương</t>
  </si>
  <si>
    <t>Chị Minh Thu</t>
  </si>
  <si>
    <t>Khách đã có thiết kế 3D, hẹn khách đầu tuần tới ngày 22/06 gửi lại báo giá.</t>
  </si>
  <si>
    <t>Chị Ngân Mỹ Đức</t>
  </si>
  <si>
    <t>18/06 đã báo giá, chờ khách phản hồi</t>
  </si>
  <si>
    <t>Anh Huy</t>
  </si>
  <si>
    <t xml:space="preserve">Đã lên thiết kế 3D, gửi báo giá chờ khách phản hồi. </t>
  </si>
  <si>
    <t>Đàm Mạnh Hải</t>
  </si>
  <si>
    <t>Anh Tiến Anh</t>
  </si>
  <si>
    <t>18/06 trao đổi với khách. Dự kiến ký thiết kế trước 13 triệu. Hẹn 23/06 phản hồi.</t>
  </si>
  <si>
    <t>Chị Hồng</t>
  </si>
  <si>
    <t>16/06 trao đổi với khách. Dự kiến ký thiết kế trước. Hẹn ngày 22/06 phản hồi chốt hoặc không.</t>
  </si>
  <si>
    <t>Anh Dũng Tuấn - B2B - Văn phòng hạng sang</t>
  </si>
  <si>
    <t xml:space="preserve">19/06 Đang chào giá chủ đầu tư. Hẹn 23/06 gửi báo giá. </t>
  </si>
  <si>
    <t>III</t>
  </si>
  <si>
    <t>Trường Ardyring Lào Cai</t>
  </si>
  <si>
    <t xml:space="preserve">Văn Phòng Tuyển Sinh Trường - tại Hà Nội 
Gửi báo giá 06/06/2026
Chờ Phòng dự án trình Chủ tịch </t>
  </si>
  <si>
    <r>
      <rPr>
        <sz val="13"/>
        <color rgb="FF000000"/>
        <rFont val="Times New Roman"/>
      </rPr>
      <t xml:space="preserve">Các lớp học khối trung học 
( đã gửi 3D, Báo giá cho CĐT ) 29/05
còn 3 phòng chức năng khác đang chạy 3D: dự kiến </t>
    </r>
    <r>
      <rPr>
        <b/>
        <sz val="13"/>
        <color rgb="FFFF0000"/>
        <rFont val="Times New Roman"/>
      </rPr>
      <t>15/06</t>
    </r>
    <r>
      <rPr>
        <sz val="13"/>
        <color rgb="FF000000"/>
        <rFont val="Times New Roman"/>
      </rPr>
      <t xml:space="preserve"> trả CĐT
Phòng DA trình chủ tịch phê duyệt )</t>
    </r>
  </si>
  <si>
    <t xml:space="preserve">Căn mẫu Sunshine </t>
  </si>
  <si>
    <t>Làm việc qua Ms Huyền GRD</t>
  </si>
  <si>
    <r>
      <rPr>
        <sz val="13"/>
        <color rgb="FF000000"/>
        <rFont val="Times New Roman"/>
      </rPr>
      <t xml:space="preserve">1/ Phụ lục hợp đồng 01: 1.260.000.000 vnđ :( Ký HĐ+ Ck tiền) từ GRD
(GRD đã làm xong bảo lãnh với CĐT ) 
chờ CĐT chuyển tiền &gt;&gt; thi công
2/ Phụ lục hợp đồng 02: 1.000.000.000 vnđ : 12/06 đã gửi lại BOQ theo speck mới 
CĐT đã chốt PA &amp; Speck vật liệu : </t>
    </r>
    <r>
      <rPr>
        <sz val="13"/>
        <color rgb="FFFF0000"/>
        <rFont val="Times New Roman"/>
      </rPr>
      <t xml:space="preserve">12/06/2026
</t>
    </r>
    <r>
      <rPr>
        <sz val="13"/>
        <color rgb="FF000000"/>
        <rFont val="Times New Roman"/>
      </rPr>
      <t xml:space="preserve">Chờ CEO duyệt báo giá: </t>
    </r>
    <r>
      <rPr>
        <sz val="13"/>
        <color rgb="FFFF0000"/>
        <rFont val="Times New Roman"/>
      </rPr>
      <t>17/06</t>
    </r>
  </si>
  <si>
    <t>Đoàn Thị Điểm</t>
  </si>
  <si>
    <r>
      <rPr>
        <sz val="13"/>
        <color rgb="FF000000"/>
        <rFont val="Times New Roman"/>
      </rPr>
      <t xml:space="preserve">3D gửi CĐT : chốt ( 2 phòng : Thư viện, Tuyển sinh) 10.06
3D phòng Hội trường gửi CDT 13/06
Chờ CDT phê duyệt 3D: </t>
    </r>
    <r>
      <rPr>
        <sz val="13"/>
        <color rgb="FFFF0000"/>
        <rFont val="Times New Roman"/>
      </rPr>
      <t xml:space="preserve">15/06
</t>
    </r>
    <r>
      <rPr>
        <sz val="13"/>
        <color rgb="FF000000"/>
        <rFont val="Times New Roman"/>
      </rPr>
      <t xml:space="preserve">&gt;&gt; gửi phụ lục psinh : </t>
    </r>
    <r>
      <rPr>
        <sz val="13"/>
        <color rgb="FFFF0000"/>
        <rFont val="Times New Roman"/>
      </rPr>
      <t xml:space="preserve">17/06 
</t>
    </r>
  </si>
  <si>
    <t xml:space="preserve">Lê Thị Hằng </t>
  </si>
  <si>
    <t>HASCO-
 Deawoo Kim mã</t>
  </si>
  <si>
    <t>Reference</t>
  </si>
  <si>
    <t>1/ lên khái toán Fitout &amp; MEP cho CĐT : 15/06 Trả bài
2/ 2D bên CĐT đang thuê tk, họ sẽ gửi lại để check và hoàn thiện báo giá 
&gt;&gt; Đàm phán thi công Fitout &amp;MEP trước để kịp tiến độ bàn giao
3/ Fur : chờ TK của cdt xong, gửi đầu bài để lên BOQ 
&gt;&gt; chào thi công 
(dự kiến : 800,000,000 Hoàn thiện)</t>
  </si>
  <si>
    <t>Anh Tùng</t>
  </si>
  <si>
    <r>
      <rPr>
        <sz val="13"/>
        <color rgb="FF000000"/>
        <rFont val="Times New Roman"/>
      </rPr>
      <t xml:space="preserve">Đã gửi Dự toán : 22/05
</t>
    </r>
    <r>
      <rPr>
        <sz val="13"/>
        <color rgb="FFFF0000"/>
        <rFont val="Times New Roman"/>
      </rPr>
      <t xml:space="preserve">CĐT đang xây thô </t>
    </r>
  </si>
  <si>
    <t>Anh Nghĩa S8 (Biệt thự Đà Nẵng)</t>
  </si>
  <si>
    <t>Khách hàng đã gửi 3D,.2D : 22/05
Gửi Dự toán cho CĐT : 19/06/206</t>
  </si>
  <si>
    <t>Khách sạn chị Trang HP</t>
  </si>
  <si>
    <t>Khách hàng đã gửi 3D : Khu sảnh lobby, lễ tân &amp; Nhà Hàng 
Đã gửi Khái Toán : 28/05
điều chỉnh lại dự toán cân đối theo mức CĐT đầu tư 600 tr
17/06</t>
  </si>
  <si>
    <t>Hóa dầu Quảng Ninh</t>
  </si>
  <si>
    <t>16/6 đi khảo sát, đang ra bản vẽ SOP và điều chỉnh lại báo giá gửi CĐT, bỏ hạng mục Thảm vì CĐT tự cung cấp</t>
  </si>
  <si>
    <t>Anh Trường (Long Biên)</t>
  </si>
  <si>
    <t>Facebook</t>
  </si>
  <si>
    <t>đã gửi TK, chờ CĐT chốt, nếu khách hàng chốt sẽ chuyển BU1 Triển khai (CĐT đã đặt cọc tiền tk)</t>
  </si>
  <si>
    <t>Anh Vũ (Yên Hòa)</t>
  </si>
  <si>
    <t>Đã khảo sát, đang chỉnh sửa lị thiết kế gửi khách</t>
  </si>
  <si>
    <t>IV</t>
  </si>
  <si>
    <t>Anh Phú The Charm</t>
  </si>
  <si>
    <t>Tuần 1 tháng 7</t>
  </si>
  <si>
    <t>Đã ký HĐ khung, đang triển khai 3D, dự kiến đầu tháng 7 chuyển đổi thi công</t>
  </si>
  <si>
    <t>Anh Minh</t>
  </si>
  <si>
    <t>28/06/2026</t>
  </si>
  <si>
    <t xml:space="preserve">Đã ký HĐTK. KH đã chốt 3D. 
KH đang cân đối giá </t>
  </si>
  <si>
    <t>Thiết kế nhà a Hân - Thái Nguyên</t>
  </si>
  <si>
    <t>Sale tự kiếm</t>
  </si>
  <si>
    <t>Đang tư vấn thiết kế sơ bộ, khách chưa làm đk thủ tục chuyển nhượng đất</t>
  </si>
  <si>
    <t>Booyoung - Campuchia</t>
  </si>
  <si>
    <t>Đối tác</t>
  </si>
  <si>
    <t>Đang triển khai Hợp đồng đặt hàng mẫu (lần 2) vs thầu mới</t>
  </si>
  <si>
    <t>Chị Trang Timecity</t>
  </si>
  <si>
    <t>25/5 KH đã ký hợp đồng thiết kế
Đã chốt 3D, đang điều chỉnh HSKT.</t>
  </si>
  <si>
    <t>Anh Ngọc</t>
  </si>
  <si>
    <t>26/06/2026</t>
  </si>
  <si>
    <t>Đã chốt 3D, đang triển khai HSKT</t>
  </si>
  <si>
    <t>HDB Thanh Trì</t>
  </si>
  <si>
    <t>19/06 đã đi gặp CĐT (sếp Trung, sếp Thuân đi cùng)
Đang điều chỉnh giá</t>
  </si>
  <si>
    <t>Cụm 36 Biệt thự Ecopark</t>
  </si>
  <si>
    <t>Tự kiếm</t>
  </si>
  <si>
    <t>20/06 đang làm việc lại về tiến độ phần thô. Tuần 4 tháng 6 họp trao đổi về Hợp đồng.</t>
  </si>
  <si>
    <t>Minh Châu</t>
  </si>
  <si>
    <t>29/06/2026</t>
  </si>
  <si>
    <t>Đã chốt 3D, đang đợi ván nên lùi lịch ký PL Thi công đến cuối tháng 6</t>
  </si>
  <si>
    <t>Nội thất 328 căn Chung cư Ecopark Sông Lam</t>
  </si>
  <si>
    <t>Tháng 8</t>
  </si>
  <si>
    <t>29/05/2026 vào gặp chủ đầu tư với sếp Trung và sếp Thuân</t>
  </si>
  <si>
    <t>Bệnh viện Thạch Thất</t>
  </si>
  <si>
    <t>Triển khai trước phần ép cọc.</t>
  </si>
  <si>
    <t>TỔNG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</si>
</sst>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_-;\-* #,##0_-;_-* &quot;-&quot;??_-;_-@_-"/>
    <numFmt numFmtId="165" formatCode="[$-1010000]d/m/yyyy;@"/>
  </numFmts>
  <fonts count="7" x14ac:knownFonts="1">
    <font>
      <sz val="11"/>
      <color theme="1"/>
      <name val="Arial"/>
      <family val="2"/>
      <charset val="163"/>
      <scheme val="minor"/>
    </font>
    <font>
      <sz val="13"/>
      <color theme="1"/>
      <name val="Times New Roman"/>
    </font>
    <font>
      <b/>
      <sz val="13"/>
      <color theme="1"/>
      <name val="Times New Roman"/>
    </font>
    <font>
      <sz val="13"/>
      <color rgb="FFFF0000"/>
      <name val="Times New Roman"/>
    </font>
    <font>
      <b/>
      <sz val="13"/>
      <color rgb="FFFF0000"/>
      <name val="Times New Roman"/>
    </font>
    <font>
      <b/>
      <sz val="18"/>
      <color theme="1"/>
      <name val="Times New Roman"/>
      <family val="1"/>
    </font>
    <font>
      <sz val="13"/>
      <color rgb="FF000000"/>
      <name val="Times New Roman"/>
    </font>
  </fonts>
  <fills count="6">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5" tint="0.59999389629810485"/>
        <bgColor indexed="64"/>
      </patternFill>
    </fill>
    <fill>
      <patternFill patternType="solid">
        <fgColor theme="4" tint="0.7999816888943144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61">
    <xf numFmtId="0" fontId="0" fillId="0" borderId="0" xfId="0"/>
    <xf numFmtId="0" fontId="1" fillId="0" borderId="1" xfId="0" applyFont="1" applyBorder="1" applyAlignment="1">
      <alignment vertical="center" wrapText="1"/>
    </xf>
    <xf numFmtId="164" fontId="1" fillId="0" borderId="1" xfId="0" applyNumberFormat="1" applyFont="1" applyBorder="1" applyAlignment="1">
      <alignment vertical="center" wrapText="1"/>
    </xf>
    <xf numFmtId="0" fontId="1" fillId="0" borderId="9" xfId="0" applyFont="1" applyBorder="1" applyAlignment="1">
      <alignment horizontal="center" vertical="center" wrapText="1"/>
    </xf>
    <xf numFmtId="0" fontId="1" fillId="0" borderId="1" xfId="0" applyFont="1" applyBorder="1" applyAlignment="1">
      <alignment horizontal="center" vertical="center" wrapText="1"/>
    </xf>
    <xf numFmtId="0" fontId="2" fillId="2" borderId="9"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2" borderId="1" xfId="0" applyFont="1" applyFill="1" applyBorder="1" applyAlignment="1">
      <alignment vertical="center" wrapText="1"/>
    </xf>
    <xf numFmtId="164" fontId="2" fillId="2" borderId="1" xfId="0" applyNumberFormat="1" applyFont="1" applyFill="1" applyBorder="1" applyAlignment="1">
      <alignment vertical="center" wrapText="1"/>
    </xf>
    <xf numFmtId="0" fontId="2" fillId="2" borderId="3" xfId="0" applyFont="1" applyFill="1" applyBorder="1" applyAlignment="1">
      <alignment horizontal="center" vertical="center" wrapText="1"/>
    </xf>
    <xf numFmtId="0" fontId="1" fillId="0" borderId="3" xfId="0" applyFont="1" applyBorder="1" applyAlignment="1">
      <alignment horizontal="center" vertical="center" wrapText="1"/>
    </xf>
    <xf numFmtId="0" fontId="1" fillId="0" borderId="3" xfId="0" applyFont="1" applyBorder="1" applyAlignment="1">
      <alignment vertical="center" wrapText="1"/>
    </xf>
    <xf numFmtId="9" fontId="1" fillId="0" borderId="1" xfId="0" applyNumberFormat="1" applyFont="1" applyBorder="1" applyAlignment="1">
      <alignment horizontal="center" vertical="center" wrapText="1"/>
    </xf>
    <xf numFmtId="0" fontId="2" fillId="2" borderId="1" xfId="0" applyFont="1" applyFill="1" applyBorder="1" applyAlignment="1">
      <alignment horizontal="right" vertical="center" wrapText="1"/>
    </xf>
    <xf numFmtId="0" fontId="0" fillId="0" borderId="12" xfId="0" pivotButton="1" applyBorder="1" applyAlignment="1">
      <alignment horizontal="center" vertical="center"/>
    </xf>
    <xf numFmtId="0" fontId="0" fillId="0" borderId="12" xfId="0" applyBorder="1" applyAlignment="1">
      <alignment horizontal="center" vertical="center" wrapText="1"/>
    </xf>
    <xf numFmtId="0" fontId="0" fillId="0" borderId="12" xfId="0" applyBorder="1" applyAlignment="1">
      <alignment vertical="center"/>
    </xf>
    <xf numFmtId="164" fontId="0" fillId="0" borderId="12" xfId="0" applyNumberFormat="1" applyBorder="1" applyAlignment="1">
      <alignment vertical="center"/>
    </xf>
    <xf numFmtId="0" fontId="2" fillId="0" borderId="5" xfId="0" applyFont="1" applyBorder="1" applyAlignment="1">
      <alignment horizontal="center" vertical="center" wrapText="1"/>
    </xf>
    <xf numFmtId="0" fontId="1" fillId="0" borderId="2" xfId="0" applyFont="1" applyBorder="1" applyAlignment="1">
      <alignment horizontal="center" vertical="center" wrapText="1"/>
    </xf>
    <xf numFmtId="0" fontId="2" fillId="0" borderId="2" xfId="0" applyFont="1" applyBorder="1" applyAlignment="1">
      <alignment horizontal="center" vertical="center" wrapText="1"/>
    </xf>
    <xf numFmtId="0" fontId="2" fillId="0" borderId="6" xfId="0" applyFont="1" applyBorder="1" applyAlignment="1">
      <alignment horizontal="center" vertical="center" wrapText="1"/>
    </xf>
    <xf numFmtId="0" fontId="1" fillId="0" borderId="0" xfId="0" applyFont="1" applyAlignment="1">
      <alignment vertical="center" wrapText="1"/>
    </xf>
    <xf numFmtId="0" fontId="1" fillId="0" borderId="0" xfId="0" applyFont="1" applyAlignment="1">
      <alignment horizontal="center" vertical="center" wrapText="1"/>
    </xf>
    <xf numFmtId="0" fontId="2" fillId="3" borderId="0" xfId="0" applyFont="1" applyFill="1" applyAlignment="1">
      <alignment vertical="center" wrapText="1"/>
    </xf>
    <xf numFmtId="164" fontId="1" fillId="0" borderId="0" xfId="0" applyNumberFormat="1" applyFont="1" applyAlignment="1">
      <alignment vertical="center" wrapText="1"/>
    </xf>
    <xf numFmtId="0" fontId="2" fillId="0" borderId="0" xfId="0" applyFont="1" applyAlignment="1">
      <alignment vertical="center" wrapText="1"/>
    </xf>
    <xf numFmtId="0" fontId="1" fillId="3" borderId="0" xfId="0" applyFont="1" applyFill="1" applyAlignment="1">
      <alignment vertical="center" wrapText="1"/>
    </xf>
    <xf numFmtId="0" fontId="1" fillId="0" borderId="0" xfId="0" applyFont="1" applyAlignment="1">
      <alignment horizontal="right" vertical="center" wrapText="1"/>
    </xf>
    <xf numFmtId="164" fontId="1" fillId="0" borderId="0" xfId="0" applyNumberFormat="1" applyFont="1" applyAlignment="1">
      <alignment horizontal="right" vertical="center" wrapText="1"/>
    </xf>
    <xf numFmtId="0" fontId="3" fillId="4" borderId="10" xfId="0" applyFont="1" applyFill="1" applyBorder="1" applyAlignment="1">
      <alignment horizontal="center" vertical="center" wrapText="1"/>
    </xf>
    <xf numFmtId="0" fontId="4" fillId="4" borderId="7" xfId="0" applyFont="1" applyFill="1" applyBorder="1" applyAlignment="1">
      <alignment horizontal="center" vertical="center" wrapText="1"/>
    </xf>
    <xf numFmtId="0" fontId="3" fillId="4" borderId="11" xfId="0" applyFont="1" applyFill="1" applyBorder="1" applyAlignment="1">
      <alignment vertical="center" wrapText="1"/>
    </xf>
    <xf numFmtId="0" fontId="3" fillId="4" borderId="7" xfId="0" applyFont="1" applyFill="1" applyBorder="1" applyAlignment="1">
      <alignment vertical="center" wrapText="1"/>
    </xf>
    <xf numFmtId="164" fontId="4" fillId="4" borderId="7" xfId="0" applyNumberFormat="1" applyFont="1" applyFill="1" applyBorder="1" applyAlignment="1">
      <alignment vertical="center" wrapText="1"/>
    </xf>
    <xf numFmtId="0" fontId="3" fillId="4" borderId="7" xfId="0" applyFont="1" applyFill="1" applyBorder="1" applyAlignment="1">
      <alignment horizontal="right" vertical="center" wrapText="1"/>
    </xf>
    <xf numFmtId="9" fontId="1" fillId="4" borderId="1" xfId="0" applyNumberFormat="1" applyFont="1" applyFill="1" applyBorder="1" applyAlignment="1">
      <alignment horizontal="center" vertical="center" wrapText="1"/>
    </xf>
    <xf numFmtId="0" fontId="2" fillId="2" borderId="4" xfId="0" applyFont="1" applyFill="1" applyBorder="1" applyAlignment="1">
      <alignment horizontal="left" vertical="center" wrapText="1"/>
    </xf>
    <xf numFmtId="0" fontId="1" fillId="0" borderId="4" xfId="0" applyFont="1" applyBorder="1" applyAlignment="1">
      <alignment horizontal="left" vertical="center" wrapText="1"/>
    </xf>
    <xf numFmtId="0" fontId="3" fillId="4" borderId="8" xfId="0" applyFont="1" applyFill="1" applyBorder="1" applyAlignment="1">
      <alignment horizontal="left" vertical="center" wrapText="1"/>
    </xf>
    <xf numFmtId="0" fontId="1" fillId="0" borderId="0" xfId="0" applyFont="1" applyAlignment="1">
      <alignment horizontal="left" vertical="center" wrapText="1"/>
    </xf>
    <xf numFmtId="164" fontId="0" fillId="0" borderId="0" xfId="0" applyNumberFormat="1"/>
    <xf numFmtId="165" fontId="1" fillId="0" borderId="1" xfId="0" applyNumberFormat="1" applyFont="1" applyBorder="1" applyAlignment="1">
      <alignment horizontal="center" vertical="center" wrapText="1"/>
    </xf>
    <xf numFmtId="165" fontId="2" fillId="2" borderId="1" xfId="0" applyNumberFormat="1" applyFont="1" applyFill="1" applyBorder="1" applyAlignment="1">
      <alignment horizontal="center" vertical="center" wrapText="1"/>
    </xf>
    <xf numFmtId="0" fontId="1" fillId="0" borderId="1" xfId="0" quotePrefix="1" applyFont="1" applyBorder="1" applyAlignment="1">
      <alignment vertical="center" wrapText="1"/>
    </xf>
    <xf numFmtId="0" fontId="1" fillId="0" borderId="7" xfId="0" applyFont="1" applyBorder="1" applyAlignment="1">
      <alignment vertical="center" wrapText="1"/>
    </xf>
    <xf numFmtId="165" fontId="1" fillId="0" borderId="1" xfId="0" quotePrefix="1" applyNumberFormat="1" applyFont="1" applyBorder="1" applyAlignment="1">
      <alignment horizontal="center" vertical="center" wrapText="1"/>
    </xf>
    <xf numFmtId="9" fontId="1" fillId="0" borderId="0" xfId="0" applyNumberFormat="1" applyFont="1" applyAlignment="1">
      <alignment vertical="center" wrapText="1"/>
    </xf>
    <xf numFmtId="9" fontId="2" fillId="0" borderId="2" xfId="0" applyNumberFormat="1" applyFont="1" applyBorder="1" applyAlignment="1">
      <alignment horizontal="center" vertical="center" wrapText="1"/>
    </xf>
    <xf numFmtId="9" fontId="2" fillId="2" borderId="1" xfId="0" applyNumberFormat="1" applyFont="1" applyFill="1" applyBorder="1" applyAlignment="1">
      <alignment vertical="center" wrapText="1"/>
    </xf>
    <xf numFmtId="9" fontId="4" fillId="4" borderId="7" xfId="0" applyNumberFormat="1" applyFont="1" applyFill="1" applyBorder="1" applyAlignment="1">
      <alignment vertical="center" wrapText="1"/>
    </xf>
    <xf numFmtId="9" fontId="2" fillId="2" borderId="1" xfId="0" applyNumberFormat="1" applyFont="1" applyFill="1" applyBorder="1" applyAlignment="1">
      <alignment horizontal="center" vertical="center" wrapText="1"/>
    </xf>
    <xf numFmtId="164" fontId="1" fillId="0" borderId="1" xfId="0" applyNumberFormat="1" applyFont="1" applyBorder="1" applyAlignment="1">
      <alignment horizontal="center" vertical="center" wrapText="1"/>
    </xf>
    <xf numFmtId="0" fontId="1" fillId="0" borderId="4" xfId="0" applyFont="1" applyBorder="1" applyAlignment="1">
      <alignment horizontal="center" vertical="center" wrapText="1"/>
    </xf>
    <xf numFmtId="0" fontId="1" fillId="0" borderId="1" xfId="0" applyFont="1" applyBorder="1" applyAlignment="1">
      <alignment horizontal="left" vertical="center" wrapText="1"/>
    </xf>
    <xf numFmtId="0" fontId="6" fillId="0" borderId="1" xfId="0" applyFont="1" applyBorder="1" applyAlignment="1">
      <alignment vertical="center" wrapText="1"/>
    </xf>
    <xf numFmtId="0" fontId="2" fillId="2" borderId="3" xfId="0" applyFont="1" applyFill="1" applyBorder="1" applyAlignment="1">
      <alignment horizontal="left" vertical="center" wrapText="1"/>
    </xf>
    <xf numFmtId="0" fontId="1" fillId="0" borderId="3" xfId="0" applyFont="1" applyBorder="1" applyAlignment="1">
      <alignment horizontal="left" vertical="center" wrapText="1"/>
    </xf>
    <xf numFmtId="0" fontId="1" fillId="5"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5" fillId="0" borderId="0" xfId="0" applyFont="1" applyAlignment="1">
      <alignment horizontal="center" vertical="center"/>
    </xf>
  </cellXfs>
  <cellStyles count="1">
    <cellStyle name="Normal" xfId="0" builtinId="0"/>
  </cellStyles>
  <dxfs count="34">
    <dxf>
      <font>
        <b val="0"/>
        <i val="0"/>
        <strike val="0"/>
        <condense val="0"/>
        <extend val="0"/>
        <outline val="0"/>
        <shadow val="0"/>
        <u val="none"/>
        <vertAlign val="baseline"/>
        <sz val="13"/>
        <color theme="1"/>
        <name val="Times New Roman"/>
        <scheme val="none"/>
      </font>
      <alignment horizontal="left"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3"/>
        <color theme="1"/>
        <name val="Times New Roman"/>
        <scheme val="none"/>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3"/>
        <color theme="1"/>
        <name val="Times New Roman"/>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3"/>
        <color theme="1"/>
        <name val="Times New Roman"/>
        <scheme val="none"/>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3"/>
        <color theme="1"/>
        <name val="Times New Roman"/>
        <scheme val="none"/>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3"/>
        <color theme="1"/>
        <name val="Times New Roman"/>
        <scheme val="none"/>
      </font>
      <alignment horizontal="righ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3"/>
        <color theme="1"/>
        <name val="Times New Roman"/>
        <scheme val="none"/>
      </font>
      <numFmt numFmtId="13" formatCode="0%"/>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3"/>
        <color theme="1"/>
        <name val="Times New Roman"/>
        <scheme val="none"/>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vertical="center"/>
    </dxf>
    <dxf>
      <font>
        <b val="0"/>
        <i val="0"/>
        <strike val="0"/>
        <condense val="0"/>
        <extend val="0"/>
        <outline val="0"/>
        <shadow val="0"/>
        <u val="none"/>
        <vertAlign val="baseline"/>
        <sz val="13"/>
        <color theme="1"/>
        <name val="Times New Roman"/>
        <scheme val="none"/>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3"/>
        <color theme="1"/>
        <name val="Times New Roman"/>
        <scheme val="none"/>
      </font>
      <alignment horizontal="general" vertical="center" textRotation="0" wrapText="1" indent="0" justifyLastLine="0" shrinkToFit="0" readingOrder="0"/>
      <border diagonalUp="0" diagonalDown="0">
        <left/>
        <right style="thin">
          <color indexed="64"/>
        </right>
        <top style="thin">
          <color indexed="64"/>
        </top>
        <bottom style="thin">
          <color indexed="64"/>
        </bottom>
      </border>
    </dxf>
    <dxf>
      <font>
        <b val="0"/>
        <i val="0"/>
        <strike val="0"/>
        <condense val="0"/>
        <extend val="0"/>
        <outline val="0"/>
        <shadow val="0"/>
        <u val="none"/>
        <vertAlign val="baseline"/>
        <sz val="13"/>
        <color theme="1"/>
        <name val="Times New Roman"/>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3"/>
        <color theme="1"/>
        <name val="Times New Roman"/>
        <scheme val="none"/>
      </font>
      <alignment horizontal="center" vertical="center" textRotation="0" wrapText="1" indent="0" justifyLastLine="0" shrinkToFit="0" readingOrder="0"/>
      <border diagonalUp="0" diagonalDown="0">
        <left/>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3"/>
        <color theme="1"/>
        <name val="Times New Roman"/>
        <scheme val="none"/>
      </font>
      <alignment horizontal="general" vertical="center" textRotation="0" wrapText="1" indent="0" justifyLastLine="0" shrinkToFit="0" readingOrder="0"/>
    </dxf>
    <dxf>
      <border outline="0">
        <bottom style="thin">
          <color indexed="64"/>
        </bottom>
      </border>
    </dxf>
    <dxf>
      <font>
        <b/>
        <i val="0"/>
        <strike val="0"/>
        <condense val="0"/>
        <extend val="0"/>
        <outline val="0"/>
        <shadow val="0"/>
        <u val="none"/>
        <vertAlign val="baseline"/>
        <sz val="13"/>
        <color theme="1"/>
        <name val="Times New Roman"/>
        <scheme val="none"/>
      </font>
      <alignment horizontal="center" vertical="center" textRotation="0" wrapText="1" indent="0" justifyLastLine="0" shrinkToFit="0" readingOrder="0"/>
      <border diagonalUp="0" diagonalDown="0">
        <left style="thin">
          <color indexed="64"/>
        </left>
        <right style="thin">
          <color indexed="64"/>
        </right>
        <top/>
        <bottom/>
      </bord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wrapText="1"/>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drawings/drawing1.xml><?xml version="1.0" encoding="utf-8"?>
<xdr:wsDr xmlns:xdr="http://schemas.openxmlformats.org/drawingml/2006/spreadsheetDrawing" xmlns:a="http://schemas.openxmlformats.org/drawingml/2006/main">
  <xdr:twoCellAnchor editAs="oneCell">
    <xdr:from>
      <xdr:col>7</xdr:col>
      <xdr:colOff>200025</xdr:colOff>
      <xdr:row>1</xdr:row>
      <xdr:rowOff>171450</xdr:rowOff>
    </xdr:from>
    <xdr:to>
      <xdr:col>9</xdr:col>
      <xdr:colOff>180975</xdr:colOff>
      <xdr:row>15</xdr:row>
      <xdr:rowOff>142875</xdr:rowOff>
    </xdr:to>
    <mc:AlternateContent xmlns:mc="http://schemas.openxmlformats.org/markup-compatibility/2006" xmlns:a14="http://schemas.microsoft.com/office/drawing/2010/main">
      <mc:Choice Requires="a14">
        <xdr:graphicFrame macro="">
          <xdr:nvGraphicFramePr>
            <xdr:cNvPr id="7" name="Trạng thái">
              <a:extLst>
                <a:ext uri="{FF2B5EF4-FFF2-40B4-BE49-F238E27FC236}">
                  <a16:creationId xmlns:a16="http://schemas.microsoft.com/office/drawing/2014/main" id="{0DEE8FFF-0354-321B-A094-F9A62611E93B}"/>
                </a:ext>
              </a:extLst>
            </xdr:cNvPr>
            <xdr:cNvGraphicFramePr/>
          </xdr:nvGraphicFramePr>
          <xdr:xfrm>
            <a:off x="0" y="0"/>
            <a:ext cx="0" cy="0"/>
          </xdr:xfrm>
          <a:graphic>
            <a:graphicData uri="http://schemas.microsoft.com/office/drawing/2010/slicer">
              <sle:slicer xmlns:sle="http://schemas.microsoft.com/office/drawing/2010/slicer" name="Trạng thái"/>
            </a:graphicData>
          </a:graphic>
        </xdr:graphicFrame>
      </mc:Choice>
      <mc:Fallback xmlns="">
        <xdr:sp macro="" textlink="">
          <xdr:nvSpPr>
            <xdr:cNvPr id="0" name=""/>
            <xdr:cNvSpPr>
              <a:spLocks noTextEdit="1"/>
            </xdr:cNvSpPr>
          </xdr:nvSpPr>
          <xdr:spPr>
            <a:xfrm>
              <a:off x="5705475" y="361950"/>
              <a:ext cx="1828800" cy="263842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79.745634143517" createdVersion="8" refreshedVersion="8" minRefreshableVersion="3" recordCount="38" xr:uid="{3C70C7AF-468D-46B6-AC12-E9848BD45200}">
  <cacheSource type="worksheet">
    <worksheetSource name="Table5"/>
  </cacheSource>
  <cacheFields count="12">
    <cacheField name="STT" numFmtId="0">
      <sharedItems containsBlank="1" containsMixedTypes="1" containsNumber="1" containsInteger="1" minValue="1" maxValue="11"/>
    </cacheField>
    <cacheField name="Phòng ban" numFmtId="0">
      <sharedItems count="7">
        <s v="BU HCM"/>
        <s v="BU 1"/>
        <s v="BU 2"/>
        <s v="BU 3"/>
        <s v="TỔNG"/>
        <s v="BU3" u="1"/>
        <s v="BU1" u="1"/>
      </sharedItems>
    </cacheField>
    <cacheField name="Nhân viên" numFmtId="0">
      <sharedItems containsBlank="1" count="27">
        <m/>
        <s v="Nguyễn Thanh Bình"/>
        <s v="Hoàng Xuân Sơn"/>
        <s v="Đinh Ngọc Thịnh"/>
        <s v="Lê Thị Sao Mai"/>
        <s v="Nguyễn Lâm Vũ"/>
        <s v="Lê Thị Hằng"/>
        <s v="Dương Xuân Thái"/>
        <s v="Ngô Thanh Tùng"/>
        <s v="Nguyễn Kiều Vân"/>
        <s v="Chu Hoàng Nam" u="1"/>
        <s v="Phạm Hoàng Giang" u="1"/>
        <s v="Phạm Trường Giang" u="1"/>
        <s v="Đỗ Đắc Long" u="1"/>
        <s v="Trần Hán Triều" u="1"/>
        <s v="Hồ Hằng" u="1"/>
        <s v="Trần Thị Phương Thảo" u="1"/>
        <s v="Vũ Ánh Dương" u="1"/>
        <s v="Phạm Thanh Việt" u="1"/>
        <s v="Nguyễn Thị Vân" u="1"/>
        <s v="Đàm Bình Minh" u="1"/>
        <s v="Nguyễn Ánh Dương" u="1"/>
        <s v="Nguyễn Đắc Long" u="1"/>
        <s v="Đặng Công Bình" u="1"/>
        <s v="Nguyễn Kiều Vân " u="1"/>
        <s v="Trần Tuấn Anh" u="1"/>
        <s v="Phạm Nguyên Khánh" u="1"/>
      </sharedItems>
    </cacheField>
    <cacheField name="Khách hàng" numFmtId="0">
      <sharedItems containsBlank="1"/>
    </cacheField>
    <cacheField name="Đầu mối làm việc_x000a_(SĐT)" numFmtId="0">
      <sharedItems containsBlank="1"/>
    </cacheField>
    <cacheField name="Doanh số dự kiến ký" numFmtId="164">
      <sharedItems containsSemiMixedTypes="0" containsString="0" containsNumber="1" containsInteger="1" minValue="80000000" maxValue="356530000000"/>
    </cacheField>
    <cacheField name="Thời gian dự kiến ký " numFmtId="0">
      <sharedItems containsBlank="1"/>
    </cacheField>
    <cacheField name="Trạng thái" numFmtId="0">
      <sharedItems containsBlank="1" count="3">
        <m/>
        <s v="Dự kiến ký tháng"/>
        <s v="Tiềm năng"/>
      </sharedItems>
    </cacheField>
    <cacheField name="Nguồn lead" numFmtId="0">
      <sharedItems containsBlank="1"/>
    </cacheField>
    <cacheField name="Mức độ tiềm năng" numFmtId="0">
      <sharedItems containsString="0" containsBlank="1" containsNumber="1" minValue="0.5" maxValue="1"/>
    </cacheField>
    <cacheField name="Tình trạng chăm lead" numFmtId="0">
      <sharedItems containsBlank="1"/>
    </cacheField>
    <cacheField name="Đề xuất Hỗ trợ từ BGĐ" numFmtId="0">
      <sharedItems containsNonDate="0" containsString="0" containsBlank="1"/>
    </cacheField>
  </cacheFields>
  <extLst>
    <ext xmlns:x14="http://schemas.microsoft.com/office/spreadsheetml/2009/9/main" uri="{725AE2AE-9491-48be-B2B4-4EB974FC3084}">
      <x14:pivotCacheDefinition pivotCacheId="15687552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8">
  <r>
    <s v="I"/>
    <x v="0"/>
    <x v="0"/>
    <m/>
    <m/>
    <n v="1250000000"/>
    <m/>
    <x v="0"/>
    <m/>
    <m/>
    <m/>
    <m/>
  </r>
  <r>
    <n v="1"/>
    <x v="0"/>
    <x v="1"/>
    <s v="Phong Vũ Phan Đăng Lưu"/>
    <s v="anh Nam: 0912149609"/>
    <n v="150000000"/>
    <s v="12-15/06"/>
    <x v="1"/>
    <s v="Customer"/>
    <n v="0.8"/>
    <s v="Đã gửi báo giá cho khách 2/6, đang chờ tài chính bên Phong Vũ duyệt"/>
    <m/>
  </r>
  <r>
    <n v="2"/>
    <x v="0"/>
    <x v="1"/>
    <s v="Phát sinh KS Phú Quốc"/>
    <m/>
    <n v="400000000"/>
    <s v="12-15/06"/>
    <x v="1"/>
    <s v="Customer"/>
    <n v="0.7"/>
    <s v="Gửi báo giá phát sinh ngày 23/05_x000a_QS đang trình sếp Khôi Nguyên duyệt, dự kiến đầu tuần tới ký"/>
    <m/>
  </r>
  <r>
    <n v="3"/>
    <x v="0"/>
    <x v="1"/>
    <s v="Khách sạn Phú Quốc Chị Trang"/>
    <m/>
    <n v="700000000"/>
    <s v="Tháng 6"/>
    <x v="1"/>
    <s v="Customer"/>
    <n v="0.7"/>
    <s v="Khách đã có 3D, Đã gửi báo giá cho khách ngày 2/6_x000a_Khách muốn giảm giá 15%, đang thương thảo giảm 8%_x000a_Hai bên đang đàm phán, dự kiến sang tuần chốt ký"/>
    <m/>
  </r>
  <r>
    <s v="II"/>
    <x v="1"/>
    <x v="0"/>
    <m/>
    <m/>
    <n v="23990000000"/>
    <m/>
    <x v="0"/>
    <m/>
    <m/>
    <m/>
    <m/>
  </r>
  <r>
    <n v="1"/>
    <x v="1"/>
    <x v="2"/>
    <s v="chị Linh (Nhà máy nước)"/>
    <s v="0909000156 - Chị Linh"/>
    <n v="2300000000"/>
    <s v="Tháng 6"/>
    <x v="1"/>
    <s v="Khách cũ giới thiệu"/>
    <n v="0.8"/>
    <s v="06/06 khách phản hồi đã ok về báo giá, sang tuần soạn hợp đồng gửi khách review và ký"/>
    <m/>
  </r>
  <r>
    <n v="2"/>
    <x v="1"/>
    <x v="3"/>
    <s v="anh Quyết"/>
    <m/>
    <n v="1000000000"/>
    <s v="Tháng 6"/>
    <x v="1"/>
    <s v="MKT"/>
    <n v="0.8"/>
    <s v="Đã qua khảo sát sơ bộ và đo đạc, CĐT đang bị chậm phần thô, chưa có trần và ốp lát và đang điều chỉnh phần thô, khách hẹn 2 tuần sau để xử lí phần thô. Dự kiến tuần 2 tháng 6 sẽ liên hệ lại"/>
    <m/>
  </r>
  <r>
    <n v="3"/>
    <x v="1"/>
    <x v="2"/>
    <s v="Khách sạn Hạ Long"/>
    <m/>
    <n v="7000000000"/>
    <s v="Tháng 6"/>
    <x v="1"/>
    <s v="Partner"/>
    <n v="0.7"/>
    <s v="Đang chào thầu - đã gửi giá (Liên hệ cuối với Chị Dung bên GRD 25/5 CĐT đang yêu cầu làm rõ quy cách vật liệu và comment điều khoản song song)"/>
    <m/>
  </r>
  <r>
    <n v="4"/>
    <x v="1"/>
    <x v="4"/>
    <s v="HK GLOBAL"/>
    <m/>
    <n v="8000000000"/>
    <s v="Tháng 7"/>
    <x v="2"/>
    <s v="Holding"/>
    <n v="0.5"/>
    <s v="Đang trao đổi, chào giá với CĐT, Đã gửi báo giá 2/6 cho chị Trang, Chờ phản hồi"/>
    <m/>
  </r>
  <r>
    <n v="5"/>
    <x v="1"/>
    <x v="2"/>
    <s v="Chị Huyền, Anh Trường"/>
    <m/>
    <n v="2500000000"/>
    <s v="Tháng 6"/>
    <x v="1"/>
    <s v="Partner"/>
    <n v="0.6"/>
    <s v="Đã qua khảo sát đo đạc cùng KH, đã gửi báo giá V1, Đang sửa báo giá V2 (chờ thầu báo lại)"/>
    <m/>
  </r>
  <r>
    <n v="6"/>
    <x v="1"/>
    <x v="5"/>
    <s v="Chị Ngân"/>
    <m/>
    <n v="500000000"/>
    <s v="Tháng 7"/>
    <x v="2"/>
    <s v="MKT"/>
    <n v="0.7"/>
    <s v="Đã qua khảo sát đo đạc. Đang lên báo giá và tư vấn dự kiến tuần 2 tháng 6 gửi"/>
    <m/>
  </r>
  <r>
    <n v="7"/>
    <x v="1"/>
    <x v="4"/>
    <s v="Khách sạn Hạ Long_x000a_(Gói đồ rời)"/>
    <m/>
    <n v="190000000"/>
    <s v="Tháng 7"/>
    <x v="2"/>
    <s v="Partner"/>
    <n v="0.7"/>
    <s v="Đang LV với Chị Dung bên GRD đã gửi và điều chỉnh BG lần 3 06/06"/>
    <m/>
  </r>
  <r>
    <n v="8"/>
    <x v="1"/>
    <x v="4"/>
    <s v="Chị Trường, Anh Giang"/>
    <m/>
    <n v="500000000"/>
    <s v="Tháng 6"/>
    <x v="1"/>
    <s v="WALK-IN"/>
    <n v="0.7"/>
    <s v="Đag triển khai TK 3D."/>
    <m/>
  </r>
  <r>
    <n v="9"/>
    <x v="1"/>
    <x v="5"/>
    <s v="Vp AORA"/>
    <m/>
    <n v="2000000000"/>
    <s v="Tháng 6"/>
    <x v="1"/>
    <s v="MKT"/>
    <n v="0.6"/>
    <s v="Đang làm phương án concept. Dự kiến gửi concept cho KH 14/6._x000a_Dự kiến chốt thiết kế và chuyển đổi thi công 2 tỷ vào cuối tháng"/>
    <m/>
  </r>
  <r>
    <s v="III"/>
    <x v="2"/>
    <x v="0"/>
    <m/>
    <m/>
    <n v="20450000000"/>
    <m/>
    <x v="0"/>
    <m/>
    <m/>
    <m/>
    <m/>
  </r>
  <r>
    <n v="1"/>
    <x v="2"/>
    <x v="6"/>
    <s v="Trường Ardyring Lào Cai"/>
    <m/>
    <n v="3000000000"/>
    <s v="Tháng 6"/>
    <x v="1"/>
    <s v="Partner"/>
    <n v="0.7"/>
    <s v="Văn Phòng Tuyển Sinh Trường - tại Hà Nội _x000a_Gửi báo giá 06/06/2026_x000a_Chờ Phòng dự án trình Chủ tịch "/>
    <m/>
  </r>
  <r>
    <n v="2"/>
    <x v="2"/>
    <x v="6"/>
    <s v="Trường Ardyring Lào Cai"/>
    <m/>
    <n v="2000000000"/>
    <s v="Tháng 6"/>
    <x v="1"/>
    <s v="Partner"/>
    <n v="0.7"/>
    <s v="Các lớp học khối trung học _x000a_( đã gửi 3D, Báo giá cho CĐT ) 29/05_x000a_còn 3 phòng chức năng khác đang chạy 3D: dự kiến 09/06 trả CĐT_x000a_Phòng DA trình chủ tịch phê duyệt )"/>
    <m/>
  </r>
  <r>
    <n v="3"/>
    <x v="2"/>
    <x v="6"/>
    <s v="Căn mẫu Sunshine "/>
    <s v="Làm việc qua Ms Huyền GRD"/>
    <n v="2100000000"/>
    <s v="Tháng 6"/>
    <x v="1"/>
    <s v="Partner"/>
    <n v="0.9"/>
    <s v="Phụ lục hợp đồng 01: 1.260.000.000 vnđ :( Ký HĐ+ Ck tiền) từ GRD_x000a_(GRD đã làm xong bảo lãnh với CĐT ) _x000a_Phụ lục hợp đồng 02: 1.000.000.000 vnđ : 10/06 ký phát sinh _x000a_CĐT đã chốt PA &amp; Speck vật liệu : 05/06/2026"/>
    <m/>
  </r>
  <r>
    <n v="4"/>
    <x v="2"/>
    <x v="6"/>
    <s v="Đoàn Thị Điểm"/>
    <m/>
    <n v="600000000"/>
    <s v="Tháng 6"/>
    <x v="1"/>
    <s v="Partner"/>
    <n v="1"/>
    <s v="Đã chốt layout, Speck, 3D gửi CĐT : 10/06_x000a_Khái toán: đã gửi CĐT đồng ý khái toán "/>
    <m/>
  </r>
  <r>
    <n v="5"/>
    <x v="2"/>
    <x v="6"/>
    <s v="Anh Tùng"/>
    <m/>
    <n v="2900000000"/>
    <s v="30/06"/>
    <x v="1"/>
    <s v="Reference"/>
    <n v="0.7"/>
    <s v="Đã gửi Dự toán : 22/05_x000a_CĐT đang hoàn thiện xây dựng "/>
    <m/>
  </r>
  <r>
    <n v="6"/>
    <x v="2"/>
    <x v="6"/>
    <s v="Anh Nghĩa S8 (Biệt thự Đà Nẵng)"/>
    <m/>
    <n v="500000000"/>
    <s v="Tháng 6"/>
    <x v="1"/>
    <s v="Partner"/>
    <n v="0.7"/>
    <s v="Khách hàng đã gửi 3D,.2D : 22/05_x000a_Gửi Dự toán cho CĐT : 12/06/206"/>
    <m/>
  </r>
  <r>
    <n v="7"/>
    <x v="2"/>
    <x v="6"/>
    <s v="Khách sạn chị Trang HP"/>
    <m/>
    <n v="800000000"/>
    <s v="Tháng 6"/>
    <x v="1"/>
    <s v="Customer"/>
    <n v="0.7"/>
    <s v="Khách hàng đã gửi 3D : Khu sảnh lobby, lễ tân &amp; Nhà Hàng _x000a_Đã gửi Khái Toán : 28/05_x000a_điều chỉnh lại dự toán cân đối theo mức CĐT đầu tư 800 tr"/>
    <m/>
  </r>
  <r>
    <n v="8"/>
    <x v="2"/>
    <x v="6"/>
    <s v="Hóa dầu Quảng Ninh"/>
    <m/>
    <n v="8000000000"/>
    <s v="Tháng 6"/>
    <x v="1"/>
    <s v="Holding"/>
    <n v="1"/>
    <s v="BU1 &amp; BU2 &amp; BU3 "/>
    <m/>
  </r>
  <r>
    <n v="9"/>
    <x v="2"/>
    <x v="6"/>
    <s v="Anh Trường (Long Biên)"/>
    <m/>
    <n v="250000000"/>
    <s v="Tháng 6"/>
    <x v="1"/>
    <s v="Facebook"/>
    <n v="0.6"/>
    <s v="Đang thiết kế 3D "/>
    <m/>
  </r>
  <r>
    <n v="10"/>
    <x v="2"/>
    <x v="6"/>
    <s v="Anh Vũ (Yên Hòa)"/>
    <m/>
    <n v="300000000"/>
    <s v="Tháng 6"/>
    <x v="1"/>
    <s v="Customer"/>
    <n v="0.6"/>
    <s v="Đã khảo sát, đang lên thiết kế 3D"/>
    <m/>
  </r>
  <r>
    <s v="IV"/>
    <x v="3"/>
    <x v="0"/>
    <m/>
    <m/>
    <n v="310840000000"/>
    <m/>
    <x v="0"/>
    <m/>
    <m/>
    <m/>
    <m/>
  </r>
  <r>
    <n v="1"/>
    <x v="3"/>
    <x v="7"/>
    <s v="Anh Phú The Charm"/>
    <m/>
    <n v="300000000"/>
    <s v="Tháng 6"/>
    <x v="1"/>
    <s v="MKT"/>
    <n v="0.9"/>
    <s v="Đã ký HĐ khung, đang triển khai 3D, dự kiến cuối tháng 5 chuyển đổi thi công"/>
    <m/>
  </r>
  <r>
    <n v="2"/>
    <x v="3"/>
    <x v="8"/>
    <s v="Thiết kế nhà a Hân - Thái Nguyên"/>
    <m/>
    <n v="80000000"/>
    <s v="Tháng 6"/>
    <x v="1"/>
    <s v="Sale tự kiếm"/>
    <n v="0.7"/>
    <s v="Đang tư vấn thiết kế sơ bộ"/>
    <m/>
  </r>
  <r>
    <n v="3"/>
    <x v="3"/>
    <x v="8"/>
    <s v="Booyoung - Campuchia"/>
    <m/>
    <n v="30000000000"/>
    <s v="Tháng 6"/>
    <x v="1"/>
    <s v="Đối tác"/>
    <n v="0.8"/>
    <s v="06/06 đã ok mẫu sơn, hàng hóa; CĐT yêu cầu điều chỉnh lại một chút kích thước._x000a_Sang tuần sẽ đẩy hợp đồng để ký kết"/>
    <m/>
  </r>
  <r>
    <n v="4"/>
    <x v="3"/>
    <x v="9"/>
    <s v="Chị Trang Timecity"/>
    <m/>
    <n v="95000000"/>
    <s v="12/06/2026"/>
    <x v="1"/>
    <s v="MKT"/>
    <n v="0.6"/>
    <s v="25/5 KH đã ký hợp đồng thiết kế_x000a_Dự kiến ký thi công vào đầu tháng 6"/>
    <m/>
  </r>
  <r>
    <n v="5"/>
    <x v="3"/>
    <x v="7"/>
    <s v="Anh Ngọc"/>
    <m/>
    <n v="100000000"/>
    <s v="12/06/2026"/>
    <x v="1"/>
    <s v="MKT"/>
    <n v="0.7"/>
    <s v="KH đang điều chỉnh lại Layout"/>
    <m/>
  </r>
  <r>
    <n v="6"/>
    <x v="3"/>
    <x v="8"/>
    <s v="HDB Thanh Trì"/>
    <m/>
    <n v="60000000000"/>
    <s v="Tháng 7"/>
    <x v="2"/>
    <s v="Đối tác"/>
    <n v="0.8"/>
    <s v="04/06 đã đi gặp CĐT (sếp Trung đi cùng)_x000a_Đang điều chỉnh giá"/>
    <m/>
  </r>
  <r>
    <n v="7"/>
    <x v="3"/>
    <x v="8"/>
    <s v="Cụm 36 Biệt thự Ecopark"/>
    <m/>
    <n v="60000000000"/>
    <s v="Tháng 6"/>
    <x v="1"/>
    <s v="Tự kiếm"/>
    <n v="0.8"/>
    <s v="29/05/2026 đã vào gặp chủ đầu tư với sếp Trung và sếp Thuân_x000a_07/06 gửi BOQ cho Ban Thư ký của Chủ Tịch để trình ký"/>
    <m/>
  </r>
  <r>
    <n v="8"/>
    <x v="3"/>
    <x v="9"/>
    <s v="Minh Châu"/>
    <m/>
    <n v="115000000"/>
    <s v="10/06/2026"/>
    <x v="1"/>
    <s v="MKT"/>
    <n v="0.8"/>
    <s v="Đang triển khai 3D"/>
    <m/>
  </r>
  <r>
    <n v="9"/>
    <x v="3"/>
    <x v="9"/>
    <s v="Chú Phước"/>
    <m/>
    <n v="150000000"/>
    <s v="25/06/2026"/>
    <x v="1"/>
    <s v="MKT"/>
    <n v="0.75"/>
    <s v="Khách đang xem dự thảo hợp đồng"/>
    <m/>
  </r>
  <r>
    <n v="10"/>
    <x v="3"/>
    <x v="8"/>
    <s v="Nội thất 328 căn Chung cư Ecopark Sông Lam"/>
    <m/>
    <n v="80000000000"/>
    <s v="Tháng 8"/>
    <x v="2"/>
    <s v="Tự kiếm"/>
    <n v="0.8"/>
    <s v="29/05/2026 vào gặp chủ đầu tư với sếp Trung và sếp Thuân"/>
    <m/>
  </r>
  <r>
    <n v="11"/>
    <x v="3"/>
    <x v="8"/>
    <s v="Bệnh viện Thạch Thất"/>
    <m/>
    <n v="80000000000"/>
    <s v="Tháng 6"/>
    <x v="1"/>
    <s v="Đối tác"/>
    <n v="0.8"/>
    <s v="CĐT đã có bảng báo giá, Đang đàm phán hợp đồng và giá để chốt ký hợp đồng"/>
    <m/>
  </r>
  <r>
    <m/>
    <x v="4"/>
    <x v="0"/>
    <m/>
    <m/>
    <n v="356530000000"/>
    <m/>
    <x v="0"/>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39B5B98-2060-4E95-B025-03590078A4D8}" name="PivotTable1" cacheId="0" applyNumberFormats="0" applyBorderFormats="0" applyFontFormats="0" applyPatternFormats="0" applyAlignmentFormats="0" applyWidthHeightFormats="1" dataCaption="Values" updatedVersion="8" minRefreshableVersion="3" itemPrintTitles="1" createdVersion="8" indent="0" compact="0" compactData="0" multipleFieldFilters="0">
  <location ref="B3:D17" firstHeaderRow="1" firstDataRow="1" firstDataCol="2"/>
  <pivotFields count="12">
    <pivotField compact="0" showAll="0"/>
    <pivotField axis="axisRow" compact="0" showAll="0" sortType="descending">
      <items count="8">
        <item x="1"/>
        <item x="2"/>
        <item x="3"/>
        <item x="0"/>
        <item m="1" x="6"/>
        <item x="4"/>
        <item m="1" x="5"/>
        <item t="default"/>
      </items>
      <autoSortScope>
        <pivotArea dataOnly="0" outline="0" fieldPosition="0">
          <references count="1">
            <reference field="4294967294" count="1" selected="0">
              <x v="0"/>
            </reference>
          </references>
        </pivotArea>
      </autoSortScope>
    </pivotField>
    <pivotField axis="axisRow" compact="0" showAll="0" sortType="descending">
      <items count="28">
        <item m="1" x="10"/>
        <item x="7"/>
        <item m="1" x="20"/>
        <item m="1" x="23"/>
        <item x="3"/>
        <item x="8"/>
        <item m="1" x="21"/>
        <item m="1" x="22"/>
        <item m="1" x="24"/>
        <item x="5"/>
        <item x="1"/>
        <item m="1" x="11"/>
        <item m="1" x="26"/>
        <item m="1" x="14"/>
        <item m="1" x="25"/>
        <item m="1" x="16"/>
        <item x="0"/>
        <item m="1" x="15"/>
        <item m="1" x="18"/>
        <item m="1" x="17"/>
        <item m="1" x="19"/>
        <item m="1" x="12"/>
        <item x="2"/>
        <item m="1" x="13"/>
        <item x="6"/>
        <item x="4"/>
        <item x="9"/>
        <item t="default"/>
      </items>
      <autoSortScope>
        <pivotArea dataOnly="0" outline="0" fieldPosition="0">
          <references count="1">
            <reference field="4294967294" count="1" selected="0">
              <x v="0"/>
            </reference>
          </references>
        </pivotArea>
      </autoSortScope>
    </pivotField>
    <pivotField compact="0" showAll="0"/>
    <pivotField compact="0" outline="0" showAll="0"/>
    <pivotField dataField="1" compact="0" numFmtId="164" outline="0" showAll="0"/>
    <pivotField compact="0" showAll="0"/>
    <pivotField compact="0" showAll="0">
      <items count="4">
        <item x="1"/>
        <item h="1" x="2"/>
        <item h="1" x="0"/>
        <item t="default"/>
      </items>
    </pivotField>
    <pivotField compact="0" showAll="0"/>
    <pivotField compact="0" showAll="0"/>
    <pivotField compact="0" showAll="0"/>
    <pivotField compact="0" outline="0" showAll="0"/>
  </pivotFields>
  <rowFields count="2">
    <field x="1"/>
    <field x="2"/>
  </rowFields>
  <rowItems count="14">
    <i>
      <x v="2"/>
    </i>
    <i r="1">
      <x v="5"/>
    </i>
    <i r="1">
      <x v="1"/>
    </i>
    <i r="1">
      <x v="26"/>
    </i>
    <i>
      <x v="1"/>
    </i>
    <i r="1">
      <x v="24"/>
    </i>
    <i>
      <x/>
    </i>
    <i r="1">
      <x v="22"/>
    </i>
    <i r="1">
      <x v="9"/>
    </i>
    <i r="1">
      <x v="4"/>
    </i>
    <i r="1">
      <x v="25"/>
    </i>
    <i>
      <x v="3"/>
    </i>
    <i r="1">
      <x v="10"/>
    </i>
    <i t="grand">
      <x/>
    </i>
  </rowItems>
  <colItems count="1">
    <i/>
  </colItems>
  <dataFields count="1">
    <dataField name=" Doanh số dự kiến ký" fld="5" baseField="0" baseItem="0" numFmtId="164"/>
  </dataFields>
  <formats count="16">
    <format dxfId="33">
      <pivotArea type="all" dataOnly="0" outline="0" fieldPosition="0"/>
    </format>
    <format dxfId="32">
      <pivotArea outline="0" collapsedLevelsAreSubtotals="1" fieldPosition="0"/>
    </format>
    <format dxfId="31">
      <pivotArea field="1" type="button" dataOnly="0" labelOnly="1" outline="0" axis="axisRow" fieldPosition="0"/>
    </format>
    <format dxfId="30">
      <pivotArea field="2" type="button" dataOnly="0" labelOnly="1" outline="0" axis="axisRow" fieldPosition="1"/>
    </format>
    <format dxfId="29">
      <pivotArea dataOnly="0" labelOnly="1" grandRow="1" outline="0" fieldPosition="0"/>
    </format>
    <format dxfId="28">
      <pivotArea dataOnly="0" labelOnly="1" outline="0" axis="axisValues" fieldPosition="0"/>
    </format>
    <format dxfId="27">
      <pivotArea dataOnly="0" labelOnly="1" outline="0" axis="axisValues" fieldPosition="0"/>
    </format>
    <format dxfId="26">
      <pivotArea type="all" dataOnly="0" outline="0" fieldPosition="0"/>
    </format>
    <format dxfId="25">
      <pivotArea outline="0" collapsedLevelsAreSubtotals="1" fieldPosition="0"/>
    </format>
    <format dxfId="24">
      <pivotArea dataOnly="0" labelOnly="1" grandRow="1" outline="0" fieldPosition="0"/>
    </format>
    <format dxfId="23">
      <pivotArea field="1" type="button" dataOnly="0" labelOnly="1" outline="0" axis="axisRow" fieldPosition="0"/>
    </format>
    <format dxfId="22">
      <pivotArea field="2" type="button" dataOnly="0" labelOnly="1" outline="0" axis="axisRow" fieldPosition="1"/>
    </format>
    <format dxfId="21">
      <pivotArea dataOnly="0" labelOnly="1" outline="0" axis="axisValues" fieldPosition="0"/>
    </format>
    <format dxfId="20">
      <pivotArea field="1" type="button" dataOnly="0" labelOnly="1" outline="0" axis="axisRow" fieldPosition="0"/>
    </format>
    <format dxfId="19">
      <pivotArea field="2" type="button" dataOnly="0" labelOnly="1" outline="0" axis="axisRow" fieldPosition="1"/>
    </format>
    <format dxfId="1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ạng_thái" xr10:uid="{E27EFB44-2110-49B9-A113-CD07E6F11170}" sourceName="Trạng thái">
  <pivotTables>
    <pivotTable tabId="6" name="PivotTable1"/>
  </pivotTables>
  <data>
    <tabular pivotCacheId="1568755218">
      <items count="3">
        <i x="1" s="1"/>
        <i x="2"/>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rạng thái" xr10:uid="{9EDE91CF-C93F-4706-8AF0-91C683A56668}" cache="Slicer_Trạng_thái" caption="Trạng thái" rowHeight="2286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0000000}" name="Table5" displayName="Table5" ref="A3:M48" totalsRowShown="0" headerRowDxfId="17" dataDxfId="15" headerRowBorderDxfId="16" tableBorderDxfId="14" totalsRowBorderDxfId="13">
  <autoFilter ref="A3:M48" xr:uid="{00000000-0009-0000-0100-000005000000}"/>
  <tableColumns count="13">
    <tableColumn id="1" xr3:uid="{00000000-0010-0000-0000-000001000000}" name="STT" dataDxfId="12"/>
    <tableColumn id="2" xr3:uid="{00000000-0010-0000-0000-000002000000}" name="Phòng ban" dataDxfId="11"/>
    <tableColumn id="3" xr3:uid="{00000000-0010-0000-0000-000003000000}" name="Nhân viên" dataDxfId="10"/>
    <tableColumn id="4" xr3:uid="{00000000-0010-0000-0000-000004000000}" name="Khách hàng" dataDxfId="9"/>
    <tableColumn id="5" xr3:uid="{5682C788-4E13-4D00-AE71-99A0CE9107F4}" name="Đầu mối làm việc_x000a_(SĐT)" dataDxfId="8"/>
    <tableColumn id="12" xr3:uid="{2CF83ECE-3CD3-48FD-8820-02DB8F62181B}" name="Doanh số dự kiến ký" dataDxfId="7"/>
    <tableColumn id="13" xr3:uid="{7162C4C5-A5FF-4141-BC6C-08637B66FEDE}" name="Margin dự kiến" dataDxfId="6"/>
    <tableColumn id="6" xr3:uid="{00000000-0010-0000-0000-000006000000}" name="Thời gian dự kiến ký " dataDxfId="5"/>
    <tableColumn id="11" xr3:uid="{758AB0AB-3A74-4F15-820C-C43EB7995AC2}" name="Trạng thái" dataDxfId="4"/>
    <tableColumn id="7" xr3:uid="{00000000-0010-0000-0000-000007000000}" name="Nguồn lead" dataDxfId="3"/>
    <tableColumn id="8" xr3:uid="{00000000-0010-0000-0000-000008000000}" name="Mức độ tiềm năng" dataDxfId="2"/>
    <tableColumn id="9" xr3:uid="{00000000-0010-0000-0000-000009000000}" name="Tình trạng chăm lead" dataDxfId="1"/>
    <tableColumn id="10" xr3:uid="{00000000-0010-0000-0000-00000A000000}" name="Đề xuất Hỗ trợ từ BGĐ"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2285EE-A618-417D-9608-F4D64537AFD0}">
  <dimension ref="B3:L42"/>
  <sheetViews>
    <sheetView workbookViewId="0">
      <selection activeCell="D24" sqref="D24"/>
    </sheetView>
  </sheetViews>
  <sheetFormatPr defaultRowHeight="14.25" x14ac:dyDescent="0.2"/>
  <cols>
    <col min="2" max="2" width="12.875" customWidth="1"/>
    <col min="3" max="3" width="18.75" customWidth="1"/>
    <col min="4" max="4" width="23" customWidth="1"/>
    <col min="7" max="7" width="15.875" customWidth="1"/>
    <col min="8" max="8" width="18.625" customWidth="1"/>
  </cols>
  <sheetData>
    <row r="3" spans="2:7" ht="15" customHeight="1" x14ac:dyDescent="0.2">
      <c r="B3" s="14" t="s">
        <v>0</v>
      </c>
      <c r="C3" s="14" t="s">
        <v>1</v>
      </c>
      <c r="D3" s="15" t="s">
        <v>2</v>
      </c>
    </row>
    <row r="4" spans="2:7" x14ac:dyDescent="0.2">
      <c r="B4" s="16" t="s">
        <v>3</v>
      </c>
      <c r="C4" s="16"/>
      <c r="D4" s="17">
        <v>170840000000</v>
      </c>
    </row>
    <row r="5" spans="2:7" x14ac:dyDescent="0.2">
      <c r="B5" s="16"/>
      <c r="C5" s="16" t="s">
        <v>4</v>
      </c>
      <c r="D5" s="17">
        <v>170080000000</v>
      </c>
    </row>
    <row r="6" spans="2:7" x14ac:dyDescent="0.2">
      <c r="B6" s="16"/>
      <c r="C6" s="16" t="s">
        <v>5</v>
      </c>
      <c r="D6" s="17">
        <v>400000000</v>
      </c>
    </row>
    <row r="7" spans="2:7" x14ac:dyDescent="0.2">
      <c r="B7" s="16"/>
      <c r="C7" s="16" t="s">
        <v>6</v>
      </c>
      <c r="D7" s="17">
        <v>360000000</v>
      </c>
    </row>
    <row r="8" spans="2:7" x14ac:dyDescent="0.2">
      <c r="B8" s="16" t="s">
        <v>7</v>
      </c>
      <c r="C8" s="16"/>
      <c r="D8" s="17">
        <v>20450000000</v>
      </c>
    </row>
    <row r="9" spans="2:7" x14ac:dyDescent="0.2">
      <c r="B9" s="16"/>
      <c r="C9" s="16" t="s">
        <v>8</v>
      </c>
      <c r="D9" s="17">
        <v>20450000000</v>
      </c>
    </row>
    <row r="10" spans="2:7" x14ac:dyDescent="0.2">
      <c r="B10" s="16" t="s">
        <v>9</v>
      </c>
      <c r="C10" s="16"/>
      <c r="D10" s="17">
        <v>15300000000</v>
      </c>
    </row>
    <row r="11" spans="2:7" x14ac:dyDescent="0.2">
      <c r="B11" s="16"/>
      <c r="C11" s="16" t="s">
        <v>10</v>
      </c>
      <c r="D11" s="17">
        <v>11800000000</v>
      </c>
    </row>
    <row r="12" spans="2:7" x14ac:dyDescent="0.2">
      <c r="B12" s="16"/>
      <c r="C12" s="16" t="s">
        <v>11</v>
      </c>
      <c r="D12" s="17">
        <v>2000000000</v>
      </c>
      <c r="G12" s="41"/>
    </row>
    <row r="13" spans="2:7" x14ac:dyDescent="0.2">
      <c r="B13" s="16"/>
      <c r="C13" s="16" t="s">
        <v>12</v>
      </c>
      <c r="D13" s="17">
        <v>1000000000</v>
      </c>
    </row>
    <row r="14" spans="2:7" x14ac:dyDescent="0.2">
      <c r="B14" s="16"/>
      <c r="C14" s="16" t="s">
        <v>13</v>
      </c>
      <c r="D14" s="17">
        <v>500000000</v>
      </c>
    </row>
    <row r="15" spans="2:7" x14ac:dyDescent="0.2">
      <c r="B15" s="16" t="s">
        <v>14</v>
      </c>
      <c r="C15" s="16"/>
      <c r="D15" s="17">
        <v>1250000000</v>
      </c>
    </row>
    <row r="16" spans="2:7" x14ac:dyDescent="0.2">
      <c r="B16" s="16"/>
      <c r="C16" s="16" t="s">
        <v>15</v>
      </c>
      <c r="D16" s="17">
        <v>1250000000</v>
      </c>
    </row>
    <row r="17" spans="2:8" x14ac:dyDescent="0.2">
      <c r="B17" s="16" t="s">
        <v>16</v>
      </c>
      <c r="C17" s="16"/>
      <c r="D17" s="17">
        <v>207840000000</v>
      </c>
    </row>
    <row r="26" spans="2:8" x14ac:dyDescent="0.2">
      <c r="H26" s="41"/>
    </row>
    <row r="42" spans="12:12" x14ac:dyDescent="0.2">
      <c r="L42" t="s">
        <v>17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52"/>
  <sheetViews>
    <sheetView tabSelected="1" workbookViewId="0">
      <pane xSplit="2" ySplit="3" topLeftCell="C27" activePane="bottomRight" state="frozen"/>
      <selection pane="topRight"/>
      <selection pane="bottomLeft"/>
      <selection pane="bottomRight" activeCell="C29" sqref="C29"/>
    </sheetView>
  </sheetViews>
  <sheetFormatPr defaultColWidth="9.125" defaultRowHeight="16.5" x14ac:dyDescent="0.2"/>
  <cols>
    <col min="1" max="1" width="9.125" style="22" customWidth="1"/>
    <col min="2" max="2" width="14.375" style="23" customWidth="1"/>
    <col min="3" max="3" width="23.125" style="22" customWidth="1"/>
    <col min="4" max="4" width="35.625" style="22" customWidth="1"/>
    <col min="5" max="5" width="24.875" style="22" hidden="1" customWidth="1"/>
    <col min="6" max="6" width="22.75" style="22" customWidth="1"/>
    <col min="7" max="7" width="18.875" style="47" customWidth="1"/>
    <col min="8" max="8" width="15.875" style="28" customWidth="1"/>
    <col min="9" max="9" width="23.375" style="22" customWidth="1"/>
    <col min="10" max="10" width="23" style="22" customWidth="1"/>
    <col min="11" max="11" width="16.625" style="22" customWidth="1"/>
    <col min="12" max="12" width="85.25" style="22" customWidth="1"/>
    <col min="13" max="13" width="24" style="40" customWidth="1"/>
    <col min="14" max="16384" width="9.125" style="22"/>
  </cols>
  <sheetData>
    <row r="1" spans="1:15" ht="33.75" hidden="1" customHeight="1" x14ac:dyDescent="0.2">
      <c r="A1" s="60" t="s">
        <v>18</v>
      </c>
      <c r="B1" s="60"/>
      <c r="C1" s="60"/>
      <c r="D1" s="60"/>
      <c r="E1" s="60"/>
      <c r="F1" s="60"/>
      <c r="G1" s="60"/>
      <c r="H1" s="60"/>
      <c r="I1" s="60"/>
      <c r="J1" s="60"/>
      <c r="K1" s="60"/>
      <c r="L1" s="60"/>
      <c r="M1" s="60"/>
    </row>
    <row r="2" spans="1:15" ht="8.25" hidden="1" customHeight="1" x14ac:dyDescent="0.2"/>
    <row r="3" spans="1:15" ht="54" customHeight="1" x14ac:dyDescent="0.2">
      <c r="A3" s="18" t="s">
        <v>19</v>
      </c>
      <c r="B3" s="19" t="s">
        <v>0</v>
      </c>
      <c r="C3" s="20" t="s">
        <v>1</v>
      </c>
      <c r="D3" s="20" t="s">
        <v>20</v>
      </c>
      <c r="E3" s="20" t="s">
        <v>21</v>
      </c>
      <c r="F3" s="20" t="s">
        <v>22</v>
      </c>
      <c r="G3" s="48" t="s">
        <v>23</v>
      </c>
      <c r="H3" s="20" t="s">
        <v>24</v>
      </c>
      <c r="I3" s="20" t="s">
        <v>25</v>
      </c>
      <c r="J3" s="20" t="s">
        <v>26</v>
      </c>
      <c r="K3" s="20" t="s">
        <v>27</v>
      </c>
      <c r="L3" s="20" t="s">
        <v>28</v>
      </c>
      <c r="M3" s="21" t="s">
        <v>29</v>
      </c>
    </row>
    <row r="4" spans="1:15" s="24" customFormat="1" x14ac:dyDescent="0.2">
      <c r="A4" s="9" t="s">
        <v>30</v>
      </c>
      <c r="B4" s="6" t="s">
        <v>14</v>
      </c>
      <c r="C4" s="7"/>
      <c r="D4" s="7"/>
      <c r="E4" s="7"/>
      <c r="F4" s="8">
        <f>+SUBTOTAL(9,F5:F7)</f>
        <v>2600000000</v>
      </c>
      <c r="G4" s="49"/>
      <c r="H4" s="13"/>
      <c r="I4" s="6"/>
      <c r="J4" s="6"/>
      <c r="K4" s="6"/>
      <c r="L4" s="7"/>
      <c r="M4" s="37"/>
    </row>
    <row r="5" spans="1:15" ht="56.25" customHeight="1" x14ac:dyDescent="0.2">
      <c r="A5" s="3">
        <v>1</v>
      </c>
      <c r="B5" s="4" t="s">
        <v>14</v>
      </c>
      <c r="C5" s="54" t="s">
        <v>15</v>
      </c>
      <c r="D5" s="1" t="s">
        <v>31</v>
      </c>
      <c r="E5" s="1" t="s">
        <v>32</v>
      </c>
      <c r="F5" s="2">
        <v>2000000000</v>
      </c>
      <c r="G5" s="12">
        <v>0.2</v>
      </c>
      <c r="H5" s="42" t="s">
        <v>33</v>
      </c>
      <c r="I5" s="4" t="s">
        <v>34</v>
      </c>
      <c r="J5" s="4" t="s">
        <v>35</v>
      </c>
      <c r="K5" s="12">
        <v>0.8</v>
      </c>
      <c r="L5" s="1" t="s">
        <v>36</v>
      </c>
      <c r="M5" s="38"/>
    </row>
    <row r="6" spans="1:15" ht="56.25" customHeight="1" x14ac:dyDescent="0.2">
      <c r="A6" s="3">
        <v>2</v>
      </c>
      <c r="B6" s="4" t="s">
        <v>14</v>
      </c>
      <c r="C6" s="54" t="s">
        <v>15</v>
      </c>
      <c r="D6" s="1" t="s">
        <v>37</v>
      </c>
      <c r="E6" s="1"/>
      <c r="F6" s="2">
        <v>500000000</v>
      </c>
      <c r="G6" s="12">
        <v>0.2</v>
      </c>
      <c r="H6" s="42" t="s">
        <v>33</v>
      </c>
      <c r="I6" s="4" t="s">
        <v>34</v>
      </c>
      <c r="J6" s="4" t="s">
        <v>35</v>
      </c>
      <c r="K6" s="12">
        <v>0.7</v>
      </c>
      <c r="L6" s="1" t="s">
        <v>38</v>
      </c>
      <c r="M6" s="38"/>
    </row>
    <row r="7" spans="1:15" ht="73.5" customHeight="1" x14ac:dyDescent="0.2">
      <c r="A7" s="3">
        <v>3</v>
      </c>
      <c r="B7" s="4" t="s">
        <v>14</v>
      </c>
      <c r="C7" s="54" t="s">
        <v>15</v>
      </c>
      <c r="D7" s="1" t="s">
        <v>39</v>
      </c>
      <c r="E7" s="1"/>
      <c r="F7" s="2">
        <v>100000000</v>
      </c>
      <c r="G7" s="12">
        <v>0.2</v>
      </c>
      <c r="H7" s="42" t="s">
        <v>40</v>
      </c>
      <c r="I7" s="4" t="s">
        <v>34</v>
      </c>
      <c r="J7" s="4" t="s">
        <v>35</v>
      </c>
      <c r="K7" s="12">
        <v>0.7</v>
      </c>
      <c r="L7" s="1"/>
      <c r="M7" s="38"/>
      <c r="N7" s="27"/>
      <c r="O7" s="27"/>
    </row>
    <row r="8" spans="1:15" s="26" customFormat="1" ht="23.25" customHeight="1" x14ac:dyDescent="0.2">
      <c r="A8" s="5" t="s">
        <v>41</v>
      </c>
      <c r="B8" s="6" t="s">
        <v>9</v>
      </c>
      <c r="C8" s="56"/>
      <c r="D8" s="7"/>
      <c r="E8" s="7"/>
      <c r="F8" s="8">
        <f>+SUBTOTAL(9,F9:F23)</f>
        <v>24253000000</v>
      </c>
      <c r="G8" s="51"/>
      <c r="H8" s="43"/>
      <c r="I8" s="6"/>
      <c r="J8" s="6"/>
      <c r="K8" s="6"/>
      <c r="L8" s="7"/>
      <c r="M8" s="37"/>
    </row>
    <row r="9" spans="1:15" ht="66" customHeight="1" x14ac:dyDescent="0.2">
      <c r="A9" s="10">
        <v>1</v>
      </c>
      <c r="B9" s="4" t="s">
        <v>9</v>
      </c>
      <c r="C9" s="57" t="s">
        <v>12</v>
      </c>
      <c r="D9" s="1" t="s">
        <v>42</v>
      </c>
      <c r="E9" s="1"/>
      <c r="F9" s="2">
        <v>500000000</v>
      </c>
      <c r="G9" s="12">
        <v>0.3</v>
      </c>
      <c r="H9" s="42" t="s">
        <v>43</v>
      </c>
      <c r="I9" s="4" t="s">
        <v>44</v>
      </c>
      <c r="J9" s="4" t="s">
        <v>45</v>
      </c>
      <c r="K9" s="12">
        <v>0.6</v>
      </c>
      <c r="L9" s="1" t="s">
        <v>46</v>
      </c>
      <c r="M9" s="38"/>
      <c r="N9" s="25"/>
    </row>
    <row r="10" spans="1:15" ht="66" customHeight="1" x14ac:dyDescent="0.2">
      <c r="A10" s="10">
        <v>2</v>
      </c>
      <c r="B10" s="4" t="s">
        <v>9</v>
      </c>
      <c r="C10" s="57" t="s">
        <v>12</v>
      </c>
      <c r="D10" s="1" t="s">
        <v>47</v>
      </c>
      <c r="E10" s="1"/>
      <c r="F10" s="2">
        <v>1000000000</v>
      </c>
      <c r="G10" s="12">
        <v>0.25</v>
      </c>
      <c r="H10" s="42" t="s">
        <v>43</v>
      </c>
      <c r="I10" s="4" t="s">
        <v>44</v>
      </c>
      <c r="J10" s="4" t="s">
        <v>45</v>
      </c>
      <c r="K10" s="12">
        <v>0.8</v>
      </c>
      <c r="L10" s="1" t="s">
        <v>48</v>
      </c>
      <c r="M10" s="38"/>
      <c r="N10" s="25"/>
    </row>
    <row r="11" spans="1:15" ht="74.25" customHeight="1" x14ac:dyDescent="0.2">
      <c r="A11" s="10">
        <v>3</v>
      </c>
      <c r="B11" s="4" t="s">
        <v>9</v>
      </c>
      <c r="C11" s="57" t="s">
        <v>10</v>
      </c>
      <c r="D11" s="1" t="s">
        <v>49</v>
      </c>
      <c r="E11" s="1"/>
      <c r="F11" s="2">
        <v>7000000000</v>
      </c>
      <c r="G11" s="12">
        <v>0.15</v>
      </c>
      <c r="H11" s="42" t="s">
        <v>43</v>
      </c>
      <c r="I11" s="4" t="s">
        <v>44</v>
      </c>
      <c r="J11" s="4" t="s">
        <v>50</v>
      </c>
      <c r="K11" s="12">
        <v>0.7</v>
      </c>
      <c r="L11" s="1" t="s">
        <v>51</v>
      </c>
      <c r="M11" s="38"/>
      <c r="N11" s="25"/>
    </row>
    <row r="12" spans="1:15" ht="74.25" customHeight="1" x14ac:dyDescent="0.2">
      <c r="A12" s="10">
        <v>4</v>
      </c>
      <c r="B12" s="4" t="s">
        <v>9</v>
      </c>
      <c r="C12" s="57" t="s">
        <v>10</v>
      </c>
      <c r="D12" s="1" t="s">
        <v>52</v>
      </c>
      <c r="E12" s="1"/>
      <c r="F12" s="2">
        <v>900000000</v>
      </c>
      <c r="G12" s="12">
        <v>0.2</v>
      </c>
      <c r="H12" s="42" t="s">
        <v>33</v>
      </c>
      <c r="I12" s="4" t="s">
        <v>34</v>
      </c>
      <c r="J12" s="4" t="s">
        <v>50</v>
      </c>
      <c r="K12" s="12">
        <v>0.7</v>
      </c>
      <c r="L12" s="1" t="s">
        <v>53</v>
      </c>
      <c r="M12" s="38"/>
      <c r="N12" s="25"/>
    </row>
    <row r="13" spans="1:15" ht="48.75" customHeight="1" x14ac:dyDescent="0.2">
      <c r="A13" s="10">
        <v>5</v>
      </c>
      <c r="B13" s="4" t="s">
        <v>9</v>
      </c>
      <c r="C13" s="57" t="s">
        <v>13</v>
      </c>
      <c r="D13" s="1" t="s">
        <v>54</v>
      </c>
      <c r="E13" s="1"/>
      <c r="F13" s="2">
        <v>8000000000</v>
      </c>
      <c r="G13" s="12">
        <v>0.15</v>
      </c>
      <c r="H13" s="42" t="s">
        <v>43</v>
      </c>
      <c r="I13" s="4" t="s">
        <v>44</v>
      </c>
      <c r="J13" s="4" t="s">
        <v>55</v>
      </c>
      <c r="K13" s="12">
        <v>0.5</v>
      </c>
      <c r="L13" s="1" t="s">
        <v>56</v>
      </c>
      <c r="M13" s="38"/>
      <c r="N13" s="25"/>
    </row>
    <row r="14" spans="1:15" ht="74.25" customHeight="1" x14ac:dyDescent="0.2">
      <c r="A14" s="10">
        <v>6</v>
      </c>
      <c r="B14" s="4" t="s">
        <v>9</v>
      </c>
      <c r="C14" s="57" t="s">
        <v>10</v>
      </c>
      <c r="D14" s="11" t="s">
        <v>57</v>
      </c>
      <c r="E14" s="1"/>
      <c r="F14" s="2">
        <v>2500000000</v>
      </c>
      <c r="G14" s="12">
        <v>0.18</v>
      </c>
      <c r="H14" s="42" t="s">
        <v>33</v>
      </c>
      <c r="I14" s="4" t="s">
        <v>34</v>
      </c>
      <c r="J14" s="4" t="s">
        <v>50</v>
      </c>
      <c r="K14" s="12">
        <v>0.6</v>
      </c>
      <c r="L14" s="1" t="s">
        <v>58</v>
      </c>
      <c r="M14" s="38"/>
      <c r="N14" s="25"/>
    </row>
    <row r="15" spans="1:15" ht="74.25" customHeight="1" x14ac:dyDescent="0.2">
      <c r="A15" s="10">
        <v>7</v>
      </c>
      <c r="B15" s="4" t="s">
        <v>9</v>
      </c>
      <c r="C15" s="57" t="s">
        <v>11</v>
      </c>
      <c r="D15" s="1" t="s">
        <v>59</v>
      </c>
      <c r="E15" s="1"/>
      <c r="F15" s="2">
        <v>500000000</v>
      </c>
      <c r="G15" s="12">
        <v>0.2</v>
      </c>
      <c r="H15" s="42" t="s">
        <v>43</v>
      </c>
      <c r="I15" s="4" t="s">
        <v>44</v>
      </c>
      <c r="J15" s="4" t="s">
        <v>45</v>
      </c>
      <c r="K15" s="12">
        <v>0.7</v>
      </c>
      <c r="L15" s="1" t="s">
        <v>60</v>
      </c>
      <c r="M15" s="38"/>
      <c r="N15" s="25"/>
    </row>
    <row r="16" spans="1:15" ht="74.25" customHeight="1" x14ac:dyDescent="0.2">
      <c r="A16" s="10">
        <v>8</v>
      </c>
      <c r="B16" s="4" t="s">
        <v>9</v>
      </c>
      <c r="C16" s="57" t="s">
        <v>13</v>
      </c>
      <c r="D16" s="1" t="s">
        <v>61</v>
      </c>
      <c r="E16" s="1"/>
      <c r="F16" s="2">
        <v>500000000</v>
      </c>
      <c r="G16" s="12">
        <v>0.2</v>
      </c>
      <c r="H16" s="42" t="s">
        <v>33</v>
      </c>
      <c r="I16" s="4" t="s">
        <v>34</v>
      </c>
      <c r="J16" s="4" t="s">
        <v>62</v>
      </c>
      <c r="K16" s="12">
        <v>0.7</v>
      </c>
      <c r="L16" s="1" t="s">
        <v>63</v>
      </c>
      <c r="M16" s="38"/>
      <c r="N16" s="25"/>
    </row>
    <row r="17" spans="1:15" ht="74.25" customHeight="1" x14ac:dyDescent="0.2">
      <c r="A17" s="10">
        <v>9</v>
      </c>
      <c r="B17" s="4" t="s">
        <v>9</v>
      </c>
      <c r="C17" s="57" t="s">
        <v>64</v>
      </c>
      <c r="D17" s="1" t="s">
        <v>65</v>
      </c>
      <c r="E17" s="1"/>
      <c r="F17" s="2">
        <v>400000000</v>
      </c>
      <c r="G17" s="12">
        <v>0.2</v>
      </c>
      <c r="H17" s="42" t="s">
        <v>33</v>
      </c>
      <c r="I17" s="4" t="s">
        <v>34</v>
      </c>
      <c r="J17" s="4" t="s">
        <v>45</v>
      </c>
      <c r="K17" s="12">
        <v>0.6</v>
      </c>
      <c r="L17" s="1" t="s">
        <v>66</v>
      </c>
      <c r="M17" s="38"/>
      <c r="N17" s="25"/>
    </row>
    <row r="18" spans="1:15" ht="74.25" customHeight="1" x14ac:dyDescent="0.2">
      <c r="A18" s="10">
        <v>10</v>
      </c>
      <c r="B18" s="4" t="s">
        <v>9</v>
      </c>
      <c r="C18" s="57" t="s">
        <v>67</v>
      </c>
      <c r="D18" s="1" t="s">
        <v>68</v>
      </c>
      <c r="E18" s="1"/>
      <c r="F18" s="2">
        <v>150000000</v>
      </c>
      <c r="G18" s="12">
        <v>0.2</v>
      </c>
      <c r="H18" s="42" t="s">
        <v>33</v>
      </c>
      <c r="I18" s="4" t="s">
        <v>34</v>
      </c>
      <c r="J18" s="4" t="s">
        <v>45</v>
      </c>
      <c r="K18" s="12">
        <v>0.6</v>
      </c>
      <c r="L18" s="1" t="s">
        <v>69</v>
      </c>
      <c r="M18" s="38"/>
      <c r="N18" s="25"/>
    </row>
    <row r="19" spans="1:15" ht="74.25" customHeight="1" x14ac:dyDescent="0.2">
      <c r="A19" s="10">
        <v>11</v>
      </c>
      <c r="B19" s="4" t="s">
        <v>9</v>
      </c>
      <c r="C19" s="57" t="s">
        <v>67</v>
      </c>
      <c r="D19" s="1" t="s">
        <v>70</v>
      </c>
      <c r="E19" s="1"/>
      <c r="F19" s="2">
        <v>83000000</v>
      </c>
      <c r="G19" s="12">
        <v>0.2</v>
      </c>
      <c r="H19" s="42" t="s">
        <v>33</v>
      </c>
      <c r="I19" s="4" t="s">
        <v>34</v>
      </c>
      <c r="J19" s="4" t="s">
        <v>45</v>
      </c>
      <c r="K19" s="12">
        <v>0.6</v>
      </c>
      <c r="L19" s="1" t="s">
        <v>71</v>
      </c>
      <c r="M19" s="38"/>
      <c r="N19" s="25"/>
    </row>
    <row r="20" spans="1:15" ht="74.25" customHeight="1" x14ac:dyDescent="0.2">
      <c r="A20" s="10">
        <v>12</v>
      </c>
      <c r="B20" s="4" t="s">
        <v>9</v>
      </c>
      <c r="C20" s="57" t="s">
        <v>67</v>
      </c>
      <c r="D20" s="1" t="s">
        <v>72</v>
      </c>
      <c r="E20" s="1"/>
      <c r="F20" s="2">
        <v>20000000</v>
      </c>
      <c r="G20" s="12">
        <v>0.2</v>
      </c>
      <c r="H20" s="42" t="s">
        <v>33</v>
      </c>
      <c r="I20" s="4" t="s">
        <v>34</v>
      </c>
      <c r="J20" s="4" t="s">
        <v>45</v>
      </c>
      <c r="K20" s="12">
        <v>0.6</v>
      </c>
      <c r="L20" s="1" t="s">
        <v>73</v>
      </c>
      <c r="M20" s="38"/>
      <c r="N20" s="25"/>
    </row>
    <row r="21" spans="1:15" ht="74.25" customHeight="1" x14ac:dyDescent="0.2">
      <c r="A21" s="10">
        <v>13</v>
      </c>
      <c r="B21" s="4" t="s">
        <v>9</v>
      </c>
      <c r="C21" s="57" t="s">
        <v>74</v>
      </c>
      <c r="D21" s="11" t="s">
        <v>75</v>
      </c>
      <c r="E21" s="1"/>
      <c r="F21" s="2">
        <v>300000000</v>
      </c>
      <c r="G21" s="12">
        <v>0.2</v>
      </c>
      <c r="H21" s="42" t="s">
        <v>33</v>
      </c>
      <c r="I21" s="4" t="s">
        <v>34</v>
      </c>
      <c r="J21" s="4" t="s">
        <v>45</v>
      </c>
      <c r="K21" s="12">
        <v>0.8</v>
      </c>
      <c r="L21" s="1" t="s">
        <v>76</v>
      </c>
      <c r="M21" s="38"/>
      <c r="N21" s="25"/>
    </row>
    <row r="22" spans="1:15" ht="74.25" customHeight="1" x14ac:dyDescent="0.2">
      <c r="A22" s="10">
        <v>14</v>
      </c>
      <c r="B22" s="4" t="s">
        <v>9</v>
      </c>
      <c r="C22" s="57" t="s">
        <v>74</v>
      </c>
      <c r="D22" s="1" t="s">
        <v>77</v>
      </c>
      <c r="E22" s="1"/>
      <c r="F22" s="2">
        <v>400000000</v>
      </c>
      <c r="G22" s="12">
        <v>0.2</v>
      </c>
      <c r="H22" s="42" t="s">
        <v>33</v>
      </c>
      <c r="I22" s="4" t="s">
        <v>34</v>
      </c>
      <c r="J22" s="4" t="s">
        <v>45</v>
      </c>
      <c r="K22" s="12">
        <v>0.5</v>
      </c>
      <c r="L22" s="1" t="s">
        <v>78</v>
      </c>
      <c r="M22" s="38"/>
      <c r="N22" s="25"/>
    </row>
    <row r="23" spans="1:15" ht="74.25" customHeight="1" x14ac:dyDescent="0.2">
      <c r="A23" s="10">
        <v>15</v>
      </c>
      <c r="B23" s="4" t="s">
        <v>9</v>
      </c>
      <c r="C23" s="57" t="s">
        <v>74</v>
      </c>
      <c r="D23" s="1" t="s">
        <v>79</v>
      </c>
      <c r="E23" s="1"/>
      <c r="F23" s="2">
        <v>2000000000</v>
      </c>
      <c r="G23" s="12">
        <v>0.2</v>
      </c>
      <c r="H23" s="42" t="s">
        <v>33</v>
      </c>
      <c r="I23" s="4" t="s">
        <v>34</v>
      </c>
      <c r="J23" s="4" t="s">
        <v>45</v>
      </c>
      <c r="K23" s="12">
        <v>0.5</v>
      </c>
      <c r="L23" s="1" t="s">
        <v>80</v>
      </c>
      <c r="M23" s="38"/>
      <c r="N23" s="25"/>
    </row>
    <row r="24" spans="1:15" ht="44.25" customHeight="1" x14ac:dyDescent="0.2">
      <c r="A24" s="5" t="s">
        <v>81</v>
      </c>
      <c r="B24" s="6" t="s">
        <v>7</v>
      </c>
      <c r="C24" s="56"/>
      <c r="D24" s="7"/>
      <c r="E24" s="7"/>
      <c r="F24" s="8">
        <f>+SUBTOTAL(9,F25:F35)</f>
        <v>18550000000</v>
      </c>
      <c r="G24" s="51"/>
      <c r="H24" s="6"/>
      <c r="I24" s="6"/>
      <c r="J24" s="6"/>
      <c r="K24" s="6"/>
      <c r="L24" s="7"/>
      <c r="M24" s="37"/>
    </row>
    <row r="25" spans="1:15" ht="66" customHeight="1" x14ac:dyDescent="0.2">
      <c r="A25" s="3">
        <v>1</v>
      </c>
      <c r="B25" s="4" t="s">
        <v>7</v>
      </c>
      <c r="C25" s="54" t="s">
        <v>8</v>
      </c>
      <c r="D25" s="1" t="s">
        <v>82</v>
      </c>
      <c r="E25" s="1"/>
      <c r="F25" s="2">
        <v>4400000000</v>
      </c>
      <c r="G25" s="12">
        <v>0.25</v>
      </c>
      <c r="H25" s="4" t="s">
        <v>33</v>
      </c>
      <c r="I25" s="58" t="s">
        <v>34</v>
      </c>
      <c r="J25" s="4" t="s">
        <v>50</v>
      </c>
      <c r="K25" s="12">
        <v>0.7</v>
      </c>
      <c r="L25" s="44" t="s">
        <v>83</v>
      </c>
      <c r="M25" s="38"/>
      <c r="N25" s="27"/>
      <c r="O25" s="27"/>
    </row>
    <row r="26" spans="1:15" ht="79.5" customHeight="1" x14ac:dyDescent="0.2">
      <c r="A26" s="3">
        <v>2</v>
      </c>
      <c r="B26" s="4" t="s">
        <v>7</v>
      </c>
      <c r="C26" s="54" t="s">
        <v>8</v>
      </c>
      <c r="D26" s="1" t="s">
        <v>82</v>
      </c>
      <c r="E26" s="1"/>
      <c r="F26" s="2">
        <v>1200000000</v>
      </c>
      <c r="G26" s="12">
        <v>0.25</v>
      </c>
      <c r="H26" s="4" t="s">
        <v>33</v>
      </c>
      <c r="I26" s="58" t="s">
        <v>34</v>
      </c>
      <c r="J26" s="4" t="s">
        <v>50</v>
      </c>
      <c r="K26" s="12">
        <v>0.7</v>
      </c>
      <c r="L26" s="44" t="s">
        <v>84</v>
      </c>
      <c r="M26" s="38"/>
      <c r="N26" s="27"/>
      <c r="O26" s="27"/>
    </row>
    <row r="27" spans="1:15" ht="126" customHeight="1" x14ac:dyDescent="0.2">
      <c r="A27" s="3">
        <v>3</v>
      </c>
      <c r="B27" s="4" t="s">
        <v>7</v>
      </c>
      <c r="C27" s="54" t="s">
        <v>8</v>
      </c>
      <c r="D27" s="1" t="s">
        <v>85</v>
      </c>
      <c r="E27" s="1" t="s">
        <v>86</v>
      </c>
      <c r="F27" s="2">
        <v>1300000000</v>
      </c>
      <c r="G27" s="12">
        <v>0.25</v>
      </c>
      <c r="H27" s="4" t="s">
        <v>33</v>
      </c>
      <c r="I27" s="58" t="s">
        <v>34</v>
      </c>
      <c r="J27" s="4" t="s">
        <v>50</v>
      </c>
      <c r="K27" s="12">
        <v>0.7</v>
      </c>
      <c r="L27" s="44" t="s">
        <v>87</v>
      </c>
      <c r="M27" s="38"/>
      <c r="N27" s="27"/>
      <c r="O27" s="27"/>
    </row>
    <row r="28" spans="1:15" ht="83.25" customHeight="1" x14ac:dyDescent="0.2">
      <c r="A28" s="3">
        <v>4</v>
      </c>
      <c r="B28" s="4" t="s">
        <v>7</v>
      </c>
      <c r="C28" s="54" t="s">
        <v>8</v>
      </c>
      <c r="D28" s="1" t="s">
        <v>88</v>
      </c>
      <c r="E28" s="1"/>
      <c r="F28" s="2">
        <v>800000000</v>
      </c>
      <c r="G28" s="12">
        <v>0.25</v>
      </c>
      <c r="H28" s="4" t="s">
        <v>33</v>
      </c>
      <c r="I28" s="58" t="s">
        <v>34</v>
      </c>
      <c r="J28" s="4" t="s">
        <v>50</v>
      </c>
      <c r="K28" s="12">
        <v>1</v>
      </c>
      <c r="L28" s="44" t="s">
        <v>89</v>
      </c>
      <c r="M28" s="38"/>
      <c r="N28" s="27"/>
      <c r="O28" s="27"/>
    </row>
    <row r="29" spans="1:15" ht="134.25" customHeight="1" x14ac:dyDescent="0.2">
      <c r="A29" s="3">
        <v>5</v>
      </c>
      <c r="B29" s="4" t="s">
        <v>7</v>
      </c>
      <c r="C29" s="57" t="s">
        <v>90</v>
      </c>
      <c r="D29" s="1" t="s">
        <v>91</v>
      </c>
      <c r="E29" s="1"/>
      <c r="F29" s="2">
        <v>1200000000</v>
      </c>
      <c r="G29" s="12">
        <v>0.25</v>
      </c>
      <c r="H29" s="4" t="s">
        <v>33</v>
      </c>
      <c r="I29" s="59" t="s">
        <v>34</v>
      </c>
      <c r="J29" s="4" t="s">
        <v>92</v>
      </c>
      <c r="K29" s="12">
        <v>0.5</v>
      </c>
      <c r="L29" s="44" t="s">
        <v>93</v>
      </c>
      <c r="M29" s="38"/>
      <c r="N29" s="27"/>
      <c r="O29" s="27"/>
    </row>
    <row r="30" spans="1:15" ht="50.25" customHeight="1" x14ac:dyDescent="0.2">
      <c r="A30" s="3">
        <v>6</v>
      </c>
      <c r="B30" s="4" t="s">
        <v>7</v>
      </c>
      <c r="C30" s="54" t="s">
        <v>8</v>
      </c>
      <c r="D30" s="1" t="s">
        <v>94</v>
      </c>
      <c r="E30" s="1"/>
      <c r="F30" s="2">
        <v>2900000000</v>
      </c>
      <c r="G30" s="12">
        <v>0.25</v>
      </c>
      <c r="H30" s="42" t="s">
        <v>43</v>
      </c>
      <c r="I30" s="58" t="s">
        <v>44</v>
      </c>
      <c r="J30" s="4" t="s">
        <v>92</v>
      </c>
      <c r="K30" s="12">
        <v>0.5</v>
      </c>
      <c r="L30" s="1" t="s">
        <v>95</v>
      </c>
      <c r="M30" s="38"/>
      <c r="N30" s="27"/>
      <c r="O30" s="27"/>
    </row>
    <row r="31" spans="1:15" ht="39.75" customHeight="1" x14ac:dyDescent="0.2">
      <c r="A31" s="3">
        <v>7</v>
      </c>
      <c r="B31" s="4" t="s">
        <v>7</v>
      </c>
      <c r="C31" s="54" t="s">
        <v>8</v>
      </c>
      <c r="D31" s="1" t="s">
        <v>96</v>
      </c>
      <c r="E31" s="1"/>
      <c r="F31" s="2">
        <v>500000000</v>
      </c>
      <c r="G31" s="12">
        <v>0.25</v>
      </c>
      <c r="H31" s="42" t="s">
        <v>43</v>
      </c>
      <c r="I31" s="4" t="s">
        <v>44</v>
      </c>
      <c r="J31" s="4" t="s">
        <v>50</v>
      </c>
      <c r="K31" s="12">
        <v>0.7</v>
      </c>
      <c r="L31" s="1" t="s">
        <v>97</v>
      </c>
      <c r="M31" s="38"/>
      <c r="N31" s="27"/>
      <c r="O31" s="27"/>
    </row>
    <row r="32" spans="1:15" ht="39.75" customHeight="1" x14ac:dyDescent="0.2">
      <c r="A32" s="3">
        <v>8</v>
      </c>
      <c r="B32" s="4" t="s">
        <v>7</v>
      </c>
      <c r="C32" s="54" t="s">
        <v>8</v>
      </c>
      <c r="D32" s="1" t="s">
        <v>98</v>
      </c>
      <c r="E32" s="1"/>
      <c r="F32" s="2">
        <v>800000000</v>
      </c>
      <c r="G32" s="12">
        <v>0.25</v>
      </c>
      <c r="H32" s="42" t="s">
        <v>43</v>
      </c>
      <c r="I32" s="58" t="s">
        <v>44</v>
      </c>
      <c r="J32" s="4" t="s">
        <v>35</v>
      </c>
      <c r="K32" s="12">
        <v>0.5</v>
      </c>
      <c r="L32" s="1" t="s">
        <v>99</v>
      </c>
      <c r="M32" s="38"/>
      <c r="N32" s="27"/>
      <c r="O32" s="27"/>
    </row>
    <row r="33" spans="1:13" ht="34.5" customHeight="1" x14ac:dyDescent="0.2">
      <c r="A33" s="3">
        <v>9</v>
      </c>
      <c r="B33" s="4" t="s">
        <v>7</v>
      </c>
      <c r="C33" s="54" t="s">
        <v>8</v>
      </c>
      <c r="D33" s="1" t="s">
        <v>100</v>
      </c>
      <c r="E33" s="1"/>
      <c r="F33" s="2">
        <v>5000000000</v>
      </c>
      <c r="G33" s="12">
        <v>0.25</v>
      </c>
      <c r="H33" s="42" t="s">
        <v>43</v>
      </c>
      <c r="I33" s="4" t="s">
        <v>44</v>
      </c>
      <c r="J33" s="4" t="s">
        <v>55</v>
      </c>
      <c r="K33" s="12">
        <v>0.9</v>
      </c>
      <c r="L33" s="55" t="s">
        <v>101</v>
      </c>
      <c r="M33" s="38"/>
    </row>
    <row r="34" spans="1:13" ht="30" customHeight="1" x14ac:dyDescent="0.2">
      <c r="A34" s="3">
        <v>10</v>
      </c>
      <c r="B34" s="4" t="s">
        <v>7</v>
      </c>
      <c r="C34" s="54" t="s">
        <v>8</v>
      </c>
      <c r="D34" s="1" t="s">
        <v>102</v>
      </c>
      <c r="E34" s="1"/>
      <c r="F34" s="2">
        <v>250000000</v>
      </c>
      <c r="G34" s="12">
        <v>0.25</v>
      </c>
      <c r="H34" s="42" t="s">
        <v>43</v>
      </c>
      <c r="I34" s="58" t="s">
        <v>44</v>
      </c>
      <c r="J34" s="4" t="s">
        <v>103</v>
      </c>
      <c r="K34" s="12">
        <v>0.5</v>
      </c>
      <c r="L34" s="1" t="s">
        <v>104</v>
      </c>
      <c r="M34" s="38"/>
    </row>
    <row r="35" spans="1:13" ht="43.5" customHeight="1" x14ac:dyDescent="0.2">
      <c r="A35" s="3">
        <v>11</v>
      </c>
      <c r="B35" s="4" t="s">
        <v>7</v>
      </c>
      <c r="C35" s="54" t="s">
        <v>8</v>
      </c>
      <c r="D35" s="1" t="s">
        <v>105</v>
      </c>
      <c r="E35" s="1"/>
      <c r="F35" s="2">
        <v>200000000</v>
      </c>
      <c r="G35" s="12">
        <v>0.2</v>
      </c>
      <c r="H35" s="42" t="s">
        <v>33</v>
      </c>
      <c r="I35" s="4" t="s">
        <v>34</v>
      </c>
      <c r="J35" s="4" t="s">
        <v>35</v>
      </c>
      <c r="K35" s="12">
        <v>0.5</v>
      </c>
      <c r="L35" s="1" t="s">
        <v>106</v>
      </c>
      <c r="M35" s="38"/>
    </row>
    <row r="36" spans="1:13" ht="27.75" customHeight="1" x14ac:dyDescent="0.2">
      <c r="A36" s="5" t="s">
        <v>107</v>
      </c>
      <c r="B36" s="6" t="s">
        <v>3</v>
      </c>
      <c r="C36" s="56"/>
      <c r="D36" s="7"/>
      <c r="E36" s="7"/>
      <c r="F36" s="8">
        <f>+SUBTOTAL(9,F37:F47)</f>
        <v>236820000000</v>
      </c>
      <c r="G36" s="51"/>
      <c r="H36" s="6"/>
      <c r="I36" s="6"/>
      <c r="J36" s="6"/>
      <c r="K36" s="6"/>
      <c r="L36" s="7"/>
      <c r="M36" s="37"/>
    </row>
    <row r="37" spans="1:13" ht="47.25" customHeight="1" x14ac:dyDescent="0.2">
      <c r="A37" s="10">
        <v>1</v>
      </c>
      <c r="B37" s="4" t="s">
        <v>3</v>
      </c>
      <c r="C37" s="54" t="s">
        <v>5</v>
      </c>
      <c r="D37" s="1" t="s">
        <v>108</v>
      </c>
      <c r="E37" s="1"/>
      <c r="F37" s="2">
        <v>300000000</v>
      </c>
      <c r="G37" s="12">
        <v>0.21</v>
      </c>
      <c r="H37" s="42" t="s">
        <v>109</v>
      </c>
      <c r="I37" s="4" t="s">
        <v>44</v>
      </c>
      <c r="J37" s="4" t="s">
        <v>45</v>
      </c>
      <c r="K37" s="12">
        <v>0.9</v>
      </c>
      <c r="L37" s="1" t="s">
        <v>110</v>
      </c>
      <c r="M37" s="38"/>
    </row>
    <row r="38" spans="1:13" s="23" customFormat="1" ht="47.25" customHeight="1" x14ac:dyDescent="0.2">
      <c r="A38" s="3">
        <f t="shared" ref="A38:A46" si="0">A37+1</f>
        <v>2</v>
      </c>
      <c r="B38" s="4" t="s">
        <v>3</v>
      </c>
      <c r="C38" s="54" t="s">
        <v>5</v>
      </c>
      <c r="D38" s="54" t="s">
        <v>111</v>
      </c>
      <c r="E38" s="4"/>
      <c r="F38" s="52">
        <v>130000000</v>
      </c>
      <c r="G38" s="12">
        <v>0.22</v>
      </c>
      <c r="H38" s="46" t="s">
        <v>112</v>
      </c>
      <c r="I38" s="4" t="s">
        <v>34</v>
      </c>
      <c r="J38" s="4" t="s">
        <v>45</v>
      </c>
      <c r="K38" s="12">
        <v>0.85</v>
      </c>
      <c r="L38" s="54" t="s">
        <v>113</v>
      </c>
      <c r="M38" s="53"/>
    </row>
    <row r="39" spans="1:13" ht="51.75" customHeight="1" x14ac:dyDescent="0.2">
      <c r="A39" s="3">
        <f t="shared" si="0"/>
        <v>3</v>
      </c>
      <c r="B39" s="4" t="s">
        <v>3</v>
      </c>
      <c r="C39" s="57" t="s">
        <v>4</v>
      </c>
      <c r="D39" s="1" t="s">
        <v>114</v>
      </c>
      <c r="E39" s="1"/>
      <c r="F39" s="2">
        <v>80000000</v>
      </c>
      <c r="G39" s="12">
        <v>0.2</v>
      </c>
      <c r="H39" s="42" t="s">
        <v>43</v>
      </c>
      <c r="I39" s="4" t="s">
        <v>44</v>
      </c>
      <c r="J39" s="4" t="s">
        <v>115</v>
      </c>
      <c r="K39" s="12">
        <v>0.7</v>
      </c>
      <c r="L39" s="1" t="s">
        <v>116</v>
      </c>
      <c r="M39" s="38"/>
    </row>
    <row r="40" spans="1:13" s="27" customFormat="1" ht="51.75" customHeight="1" x14ac:dyDescent="0.2">
      <c r="A40" s="3">
        <f t="shared" si="0"/>
        <v>4</v>
      </c>
      <c r="B40" s="4" t="s">
        <v>3</v>
      </c>
      <c r="C40" s="54" t="s">
        <v>4</v>
      </c>
      <c r="D40" s="1" t="s">
        <v>117</v>
      </c>
      <c r="E40" s="1"/>
      <c r="F40" s="2">
        <v>30000000000</v>
      </c>
      <c r="G40" s="12">
        <v>0.18</v>
      </c>
      <c r="H40" s="42" t="s">
        <v>43</v>
      </c>
      <c r="I40" s="4" t="s">
        <v>44</v>
      </c>
      <c r="J40" s="4" t="s">
        <v>118</v>
      </c>
      <c r="K40" s="12">
        <v>0.8</v>
      </c>
      <c r="L40" s="1" t="s">
        <v>119</v>
      </c>
      <c r="M40" s="38"/>
    </row>
    <row r="41" spans="1:13" ht="45" customHeight="1" x14ac:dyDescent="0.2">
      <c r="A41" s="3">
        <f t="shared" si="0"/>
        <v>5</v>
      </c>
      <c r="B41" s="4" t="s">
        <v>3</v>
      </c>
      <c r="C41" s="57" t="s">
        <v>6</v>
      </c>
      <c r="D41" s="1" t="s">
        <v>120</v>
      </c>
      <c r="E41" s="45"/>
      <c r="F41" s="2">
        <v>95000000</v>
      </c>
      <c r="G41" s="12">
        <v>0.23</v>
      </c>
      <c r="H41" s="46" t="s">
        <v>112</v>
      </c>
      <c r="I41" s="4" t="s">
        <v>34</v>
      </c>
      <c r="J41" s="4" t="s">
        <v>45</v>
      </c>
      <c r="K41" s="12">
        <v>0.6</v>
      </c>
      <c r="L41" s="44" t="s">
        <v>121</v>
      </c>
      <c r="M41" s="38"/>
    </row>
    <row r="42" spans="1:13" ht="46.5" customHeight="1" x14ac:dyDescent="0.2">
      <c r="A42" s="3">
        <f t="shared" si="0"/>
        <v>6</v>
      </c>
      <c r="B42" s="4" t="s">
        <v>3</v>
      </c>
      <c r="C42" s="57" t="s">
        <v>5</v>
      </c>
      <c r="D42" s="1" t="s">
        <v>122</v>
      </c>
      <c r="E42" s="45"/>
      <c r="F42" s="2">
        <v>100000000</v>
      </c>
      <c r="G42" s="12">
        <v>0.2</v>
      </c>
      <c r="H42" s="46" t="s">
        <v>123</v>
      </c>
      <c r="I42" s="4" t="s">
        <v>34</v>
      </c>
      <c r="J42" s="4" t="s">
        <v>45</v>
      </c>
      <c r="K42" s="12">
        <v>0.7</v>
      </c>
      <c r="L42" s="44" t="s">
        <v>124</v>
      </c>
      <c r="M42" s="38"/>
    </row>
    <row r="43" spans="1:13" ht="39" customHeight="1" x14ac:dyDescent="0.2">
      <c r="A43" s="3">
        <f t="shared" si="0"/>
        <v>7</v>
      </c>
      <c r="B43" s="4" t="s">
        <v>3</v>
      </c>
      <c r="C43" s="57" t="s">
        <v>4</v>
      </c>
      <c r="D43" s="1" t="s">
        <v>125</v>
      </c>
      <c r="E43" s="45"/>
      <c r="F43" s="2">
        <v>60000000000</v>
      </c>
      <c r="G43" s="12">
        <v>0.08</v>
      </c>
      <c r="H43" s="42" t="s">
        <v>43</v>
      </c>
      <c r="I43" s="4" t="s">
        <v>44</v>
      </c>
      <c r="J43" s="4" t="s">
        <v>118</v>
      </c>
      <c r="K43" s="12">
        <v>0.8</v>
      </c>
      <c r="L43" s="44" t="s">
        <v>126</v>
      </c>
      <c r="M43" s="38"/>
    </row>
    <row r="44" spans="1:13" ht="67.5" customHeight="1" x14ac:dyDescent="0.2">
      <c r="A44" s="3">
        <f t="shared" si="0"/>
        <v>8</v>
      </c>
      <c r="B44" s="4" t="s">
        <v>3</v>
      </c>
      <c r="C44" s="57" t="s">
        <v>4</v>
      </c>
      <c r="D44" s="1" t="s">
        <v>127</v>
      </c>
      <c r="E44" s="45"/>
      <c r="F44" s="2">
        <v>60000000000</v>
      </c>
      <c r="G44" s="12">
        <v>0.15</v>
      </c>
      <c r="H44" s="42" t="s">
        <v>109</v>
      </c>
      <c r="I44" s="4" t="s">
        <v>44</v>
      </c>
      <c r="J44" s="4" t="s">
        <v>128</v>
      </c>
      <c r="K44" s="12">
        <v>0.8</v>
      </c>
      <c r="L44" s="44" t="s">
        <v>129</v>
      </c>
      <c r="M44" s="38"/>
    </row>
    <row r="45" spans="1:13" ht="49.5" customHeight="1" x14ac:dyDescent="0.2">
      <c r="A45" s="3">
        <f t="shared" si="0"/>
        <v>9</v>
      </c>
      <c r="B45" s="4" t="s">
        <v>3</v>
      </c>
      <c r="C45" s="57" t="s">
        <v>6</v>
      </c>
      <c r="D45" s="1" t="s">
        <v>130</v>
      </c>
      <c r="E45" s="45"/>
      <c r="F45" s="2">
        <v>115000000</v>
      </c>
      <c r="G45" s="12">
        <v>0.25</v>
      </c>
      <c r="H45" s="46" t="s">
        <v>131</v>
      </c>
      <c r="I45" s="4" t="s">
        <v>34</v>
      </c>
      <c r="J45" s="4" t="s">
        <v>45</v>
      </c>
      <c r="K45" s="12">
        <v>0.8</v>
      </c>
      <c r="L45" s="44" t="s">
        <v>132</v>
      </c>
      <c r="M45" s="38"/>
    </row>
    <row r="46" spans="1:13" ht="68.25" customHeight="1" x14ac:dyDescent="0.2">
      <c r="A46" s="3">
        <f t="shared" si="0"/>
        <v>10</v>
      </c>
      <c r="B46" s="4" t="s">
        <v>3</v>
      </c>
      <c r="C46" s="57" t="s">
        <v>4</v>
      </c>
      <c r="D46" s="1" t="s">
        <v>133</v>
      </c>
      <c r="E46" s="45"/>
      <c r="F46" s="2">
        <v>80000000000</v>
      </c>
      <c r="G46" s="12">
        <v>0.15</v>
      </c>
      <c r="H46" s="42" t="s">
        <v>134</v>
      </c>
      <c r="I46" s="4" t="s">
        <v>44</v>
      </c>
      <c r="J46" s="4" t="s">
        <v>128</v>
      </c>
      <c r="K46" s="12">
        <v>0.8</v>
      </c>
      <c r="L46" s="44" t="s">
        <v>135</v>
      </c>
      <c r="M46" s="38"/>
    </row>
    <row r="47" spans="1:13" ht="51.75" customHeight="1" x14ac:dyDescent="0.2">
      <c r="A47" s="10">
        <v>11</v>
      </c>
      <c r="B47" s="4" t="s">
        <v>3</v>
      </c>
      <c r="C47" s="57" t="s">
        <v>4</v>
      </c>
      <c r="D47" s="1" t="s">
        <v>136</v>
      </c>
      <c r="E47" s="45"/>
      <c r="F47" s="2">
        <v>6000000000</v>
      </c>
      <c r="G47" s="12">
        <v>0.08</v>
      </c>
      <c r="H47" s="42" t="s">
        <v>43</v>
      </c>
      <c r="I47" s="4" t="s">
        <v>44</v>
      </c>
      <c r="J47" s="4" t="s">
        <v>118</v>
      </c>
      <c r="K47" s="12">
        <v>0.8</v>
      </c>
      <c r="L47" s="44" t="s">
        <v>137</v>
      </c>
      <c r="M47" s="38"/>
    </row>
    <row r="48" spans="1:13" ht="22.5" customHeight="1" x14ac:dyDescent="0.2">
      <c r="A48" s="30"/>
      <c r="B48" s="31" t="s">
        <v>138</v>
      </c>
      <c r="C48" s="32"/>
      <c r="D48" s="33"/>
      <c r="E48" s="33"/>
      <c r="F48" s="34">
        <f>SUBTOTAL(9,F4:F47)</f>
        <v>282223000000</v>
      </c>
      <c r="G48" s="50"/>
      <c r="H48" s="35"/>
      <c r="I48" s="33"/>
      <c r="J48" s="33"/>
      <c r="K48" s="36"/>
      <c r="L48" s="33"/>
      <c r="M48" s="39"/>
    </row>
    <row r="49" spans="6:8" x14ac:dyDescent="0.2">
      <c r="F49" s="25"/>
      <c r="H49" s="29"/>
    </row>
    <row r="50" spans="6:8" ht="46.5" customHeight="1" x14ac:dyDescent="0.2"/>
    <row r="51" spans="6:8" ht="46.5" customHeight="1" x14ac:dyDescent="0.2"/>
    <row r="52" spans="6:8" ht="25.5" customHeight="1" x14ac:dyDescent="0.2"/>
  </sheetData>
  <mergeCells count="1">
    <mergeCell ref="A1:M1"/>
  </mergeCells>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Report</vt:lpstr>
      <vt:lpstr>Danh sách dự kiến ký</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FF-PC06</dc:creator>
  <cp:keywords/>
  <dc:description/>
  <cp:lastModifiedBy>Nguyễn Thị Mơ</cp:lastModifiedBy>
  <cp:revision/>
  <dcterms:created xsi:type="dcterms:W3CDTF">2025-11-13T08:26:10Z</dcterms:created>
  <dcterms:modified xsi:type="dcterms:W3CDTF">2026-06-21T11:50:45Z</dcterms:modified>
  <cp:category/>
  <cp:contentStatus/>
</cp:coreProperties>
</file>