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https://flexfitcom-my.sharepoint.com/personal/mont_flexfit_vn/Documents/MONT/Báo cáo doanh số/Báo cáo tiềm năng/Dữ liệu báo cáo tiềm năng/"/>
    </mc:Choice>
  </mc:AlternateContent>
  <xr:revisionPtr revIDLastSave="1" documentId="8_{93BCCAFF-3BFC-4044-80D8-973DDA233AC4}" xr6:coauthVersionLast="47" xr6:coauthVersionMax="47" xr10:uidLastSave="{E257BB3A-00EE-4FBF-B5AD-930EB89E1172}"/>
  <bookViews>
    <workbookView xWindow="-120" yWindow="-120" windowWidth="29040" windowHeight="15840" xr2:uid="{00000000-000D-0000-FFFF-FFFF00000000}"/>
  </bookViews>
  <sheets>
    <sheet name="Data Doanh số" sheetId="4" r:id="rId1"/>
    <sheet name="Hủy" sheetId="13" state="hidden" r:id="rId2"/>
    <sheet name="HĐ Khung chuyển đổi TC" sheetId="11" r:id="rId3"/>
    <sheet name="MKT" sheetId="8" state="hidden" r:id="rId4"/>
    <sheet name="KPI theo nhân sự" sheetId="12" r:id="rId5"/>
    <sheet name="KPI theo Phòng ban" sheetId="14" r:id="rId6"/>
    <sheet name="Report" sheetId="5" r:id="rId7"/>
    <sheet name="Kết quả theo KPI" sheetId="6" r:id="rId8"/>
    <sheet name="BC tuần" sheetId="9" r:id="rId9"/>
    <sheet name="DROPDOWNDATA-NOFILL" sheetId="2" r:id="rId10"/>
  </sheets>
  <definedNames>
    <definedName name="_xlnm._FilterDatabase" localSheetId="8" hidden="1">'BC tuần'!$E$144:$G$144</definedName>
    <definedName name="_xlnm._FilterDatabase" localSheetId="0" hidden="1">'Data Doanh số'!$A$1:$AC$439</definedName>
    <definedName name="_xlnm._FilterDatabase" localSheetId="2" hidden="1">'HĐ Khung chuyển đổi TC'!$A$1:$Y$3</definedName>
    <definedName name="Slicer_Ngày_tạo">#N/A</definedName>
    <definedName name="Slicer_Tháng_tạo">#N/A</definedName>
    <definedName name="Slicer_Tháng_tạo1">#N/A</definedName>
    <definedName name="Slicer_Tháng_tạo2">#N/A</definedName>
  </definedNames>
  <calcPr calcId="191028"/>
  <pivotCaches>
    <pivotCache cacheId="3" r:id="rId11"/>
    <pivotCache cacheId="4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51" i="4" l="1"/>
  <c r="X151" i="4"/>
  <c r="Y151" i="4"/>
  <c r="Z151" i="4"/>
  <c r="AA151" i="4"/>
  <c r="AB151" i="4"/>
  <c r="Q151" i="4"/>
  <c r="J151" i="4"/>
  <c r="W149" i="4"/>
  <c r="X149" i="4"/>
  <c r="Y149" i="4"/>
  <c r="Z149" i="4"/>
  <c r="AA149" i="4"/>
  <c r="AB149" i="4"/>
  <c r="W150" i="4"/>
  <c r="X150" i="4"/>
  <c r="Y150" i="4"/>
  <c r="Z150" i="4"/>
  <c r="AA150" i="4"/>
  <c r="AB150" i="4"/>
  <c r="O149" i="4"/>
  <c r="O150" i="4"/>
  <c r="M149" i="4"/>
  <c r="M150" i="4"/>
  <c r="Q148" i="4"/>
  <c r="Q149" i="4"/>
  <c r="Q150" i="4"/>
  <c r="A148" i="4"/>
  <c r="A149" i="4"/>
  <c r="A150" i="4"/>
  <c r="Z136" i="4"/>
  <c r="Z137" i="4"/>
  <c r="Z138" i="4"/>
  <c r="Z139" i="4"/>
  <c r="Z140" i="4"/>
  <c r="Z141" i="4"/>
  <c r="Z142" i="4"/>
  <c r="Z143" i="4"/>
  <c r="Z144" i="4"/>
  <c r="Z145" i="4"/>
  <c r="Z146" i="4"/>
  <c r="Z147" i="4"/>
  <c r="Z148" i="4"/>
  <c r="W148" i="4"/>
  <c r="X148" i="4"/>
  <c r="Y148" i="4"/>
  <c r="AA148" i="4"/>
  <c r="AB148" i="4"/>
  <c r="O148" i="4"/>
  <c r="M148" i="4"/>
  <c r="J148" i="4"/>
  <c r="J147" i="4"/>
  <c r="B147" i="4"/>
  <c r="AB147" i="4"/>
  <c r="Y147" i="4"/>
  <c r="X147" i="4"/>
  <c r="AA147" i="4" s="1"/>
  <c r="W147" i="4"/>
  <c r="Q147" i="4"/>
  <c r="O147" i="4"/>
  <c r="M147" i="4"/>
  <c r="A147" i="4"/>
  <c r="W146" i="4"/>
  <c r="X146" i="4"/>
  <c r="Y146" i="4"/>
  <c r="AA146" i="4"/>
  <c r="AB146" i="4"/>
  <c r="Q146" i="4"/>
  <c r="K146" i="4"/>
  <c r="A146" i="4"/>
  <c r="O141" i="4"/>
  <c r="O142" i="4"/>
  <c r="O143" i="4"/>
  <c r="O144" i="4"/>
  <c r="O145" i="4"/>
  <c r="M141" i="4"/>
  <c r="M142" i="4"/>
  <c r="M143" i="4"/>
  <c r="M144" i="4"/>
  <c r="M145" i="4"/>
  <c r="W141" i="4"/>
  <c r="X141" i="4"/>
  <c r="Y141" i="4"/>
  <c r="AA141" i="4"/>
  <c r="AB141" i="4"/>
  <c r="W142" i="4"/>
  <c r="X142" i="4"/>
  <c r="Y142" i="4"/>
  <c r="AA142" i="4"/>
  <c r="AB142" i="4"/>
  <c r="W143" i="4"/>
  <c r="X143" i="4"/>
  <c r="Y143" i="4"/>
  <c r="AA143" i="4"/>
  <c r="AB143" i="4"/>
  <c r="W144" i="4"/>
  <c r="X144" i="4"/>
  <c r="Y144" i="4"/>
  <c r="AA144" i="4"/>
  <c r="AB144" i="4"/>
  <c r="W145" i="4"/>
  <c r="X145" i="4"/>
  <c r="Y145" i="4"/>
  <c r="AA145" i="4"/>
  <c r="AB145" i="4"/>
  <c r="Q141" i="4"/>
  <c r="Q142" i="4"/>
  <c r="Q143" i="4"/>
  <c r="Q144" i="4"/>
  <c r="Q145" i="4"/>
  <c r="A139" i="4"/>
  <c r="A140" i="4"/>
  <c r="A141" i="4"/>
  <c r="A142" i="4"/>
  <c r="A143" i="4"/>
  <c r="A144" i="4"/>
  <c r="A145" i="4"/>
  <c r="J140" i="4"/>
  <c r="J128" i="4"/>
  <c r="W139" i="4"/>
  <c r="X139" i="4"/>
  <c r="Y139" i="4"/>
  <c r="AA139" i="4"/>
  <c r="AB139" i="4"/>
  <c r="Q139" i="4"/>
  <c r="K139" i="4"/>
  <c r="M137" i="4"/>
  <c r="M138" i="4"/>
  <c r="O137" i="4"/>
  <c r="O138" i="4"/>
  <c r="Q137" i="4"/>
  <c r="Q138" i="4"/>
  <c r="Z135" i="4"/>
  <c r="W137" i="4"/>
  <c r="X137" i="4"/>
  <c r="Y137" i="4"/>
  <c r="AA137" i="4"/>
  <c r="AB137" i="4"/>
  <c r="W138" i="4"/>
  <c r="X138" i="4"/>
  <c r="Y138" i="4"/>
  <c r="AA138" i="4"/>
  <c r="AB138" i="4"/>
  <c r="A136" i="4"/>
  <c r="A137" i="4"/>
  <c r="A138" i="4"/>
  <c r="G144" i="5"/>
  <c r="F164" i="5"/>
  <c r="D118" i="6"/>
  <c r="D116" i="6"/>
  <c r="D115" i="6"/>
  <c r="D114" i="6"/>
  <c r="D112" i="6"/>
  <c r="D111" i="6"/>
  <c r="D109" i="6"/>
  <c r="D106" i="6"/>
  <c r="D105" i="6"/>
  <c r="D104" i="6"/>
  <c r="D103" i="6"/>
  <c r="D100" i="6"/>
  <c r="D101" i="6"/>
  <c r="D99" i="6"/>
  <c r="J133" i="4"/>
  <c r="J132" i="4"/>
  <c r="AB132" i="4"/>
  <c r="Y132" i="4"/>
  <c r="X132" i="4"/>
  <c r="AA132" i="4" s="1"/>
  <c r="W132" i="4"/>
  <c r="Q132" i="4"/>
  <c r="O132" i="4"/>
  <c r="M132" i="4"/>
  <c r="B132" i="4"/>
  <c r="A132" i="4"/>
  <c r="L33" i="12"/>
  <c r="J124" i="4"/>
  <c r="J123" i="4"/>
  <c r="AB123" i="4"/>
  <c r="Y123" i="4"/>
  <c r="X123" i="4"/>
  <c r="AA123" i="4" s="1"/>
  <c r="W123" i="4"/>
  <c r="Q123" i="4"/>
  <c r="O123" i="4"/>
  <c r="M123" i="4"/>
  <c r="B123" i="4"/>
  <c r="A122" i="4"/>
  <c r="A123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40" i="4"/>
  <c r="Q113" i="4"/>
  <c r="Q114" i="4"/>
  <c r="Q115" i="4"/>
  <c r="Q116" i="4"/>
  <c r="Q117" i="4"/>
  <c r="Q118" i="4"/>
  <c r="Q119" i="4"/>
  <c r="Q120" i="4"/>
  <c r="Q121" i="4"/>
  <c r="Q122" i="4"/>
  <c r="Q124" i="4"/>
  <c r="Q125" i="4"/>
  <c r="Q126" i="4"/>
  <c r="Q127" i="4"/>
  <c r="Q128" i="4"/>
  <c r="Q129" i="4"/>
  <c r="Q130" i="4"/>
  <c r="Q131" i="4"/>
  <c r="Q133" i="4"/>
  <c r="Q134" i="4"/>
  <c r="Q135" i="4"/>
  <c r="Q136" i="4"/>
  <c r="K134" i="4"/>
  <c r="AB134" i="4"/>
  <c r="Y134" i="4"/>
  <c r="X134" i="4"/>
  <c r="W134" i="4"/>
  <c r="A134" i="4"/>
  <c r="W130" i="4"/>
  <c r="X130" i="4"/>
  <c r="Y130" i="4"/>
  <c r="AA130" i="4"/>
  <c r="AB130" i="4"/>
  <c r="W131" i="4"/>
  <c r="X131" i="4"/>
  <c r="Y131" i="4"/>
  <c r="AA131" i="4"/>
  <c r="AB131" i="4"/>
  <c r="W133" i="4"/>
  <c r="X133" i="4"/>
  <c r="Y133" i="4"/>
  <c r="AA133" i="4"/>
  <c r="AB133" i="4"/>
  <c r="O130" i="4"/>
  <c r="O131" i="4"/>
  <c r="O133" i="4"/>
  <c r="M130" i="4"/>
  <c r="M131" i="4"/>
  <c r="M133" i="4"/>
  <c r="A129" i="4"/>
  <c r="A130" i="4"/>
  <c r="A131" i="4"/>
  <c r="A133" i="4"/>
  <c r="B130" i="4"/>
  <c r="B131" i="4"/>
  <c r="B133" i="4"/>
  <c r="D7" i="14"/>
  <c r="W126" i="4"/>
  <c r="X126" i="4"/>
  <c r="Y126" i="4"/>
  <c r="AA126" i="4"/>
  <c r="AB126" i="4"/>
  <c r="W127" i="4"/>
  <c r="X127" i="4"/>
  <c r="Y127" i="4"/>
  <c r="AA127" i="4"/>
  <c r="AB127" i="4"/>
  <c r="W135" i="4"/>
  <c r="X135" i="4"/>
  <c r="Y135" i="4"/>
  <c r="AA135" i="4"/>
  <c r="AB135" i="4"/>
  <c r="W136" i="4"/>
  <c r="X136" i="4"/>
  <c r="Y136" i="4"/>
  <c r="AA136" i="4"/>
  <c r="AB136" i="4"/>
  <c r="W128" i="4"/>
  <c r="X128" i="4"/>
  <c r="Y128" i="4"/>
  <c r="AA128" i="4"/>
  <c r="AB128" i="4"/>
  <c r="W129" i="4"/>
  <c r="X129" i="4"/>
  <c r="Y129" i="4"/>
  <c r="AA129" i="4"/>
  <c r="AB129" i="4"/>
  <c r="A124" i="4"/>
  <c r="A121" i="4"/>
  <c r="A125" i="4"/>
  <c r="A126" i="4"/>
  <c r="A127" i="4"/>
  <c r="A135" i="4"/>
  <c r="A128" i="4"/>
  <c r="O126" i="4"/>
  <c r="O127" i="4"/>
  <c r="O135" i="4"/>
  <c r="O136" i="4"/>
  <c r="O128" i="4"/>
  <c r="O129" i="4"/>
  <c r="M126" i="4"/>
  <c r="M127" i="4"/>
  <c r="M135" i="4"/>
  <c r="M136" i="4"/>
  <c r="M128" i="4"/>
  <c r="M129" i="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C7" i="14"/>
  <c r="W125" i="4"/>
  <c r="X125" i="4"/>
  <c r="Y125" i="4"/>
  <c r="AA125" i="4"/>
  <c r="AB125" i="4"/>
  <c r="O121" i="4"/>
  <c r="O124" i="4"/>
  <c r="O122" i="4"/>
  <c r="M122" i="4"/>
  <c r="M124" i="4"/>
  <c r="M121" i="4"/>
  <c r="J125" i="4"/>
  <c r="A118" i="4"/>
  <c r="A120" i="4"/>
  <c r="W122" i="4"/>
  <c r="X122" i="4"/>
  <c r="Y122" i="4"/>
  <c r="AA122" i="4"/>
  <c r="AB122" i="4"/>
  <c r="W124" i="4"/>
  <c r="X124" i="4"/>
  <c r="Y124" i="4"/>
  <c r="AA124" i="4"/>
  <c r="AB124" i="4"/>
  <c r="W121" i="4"/>
  <c r="X121" i="4"/>
  <c r="Y121" i="4"/>
  <c r="AA121" i="4"/>
  <c r="AB121" i="4"/>
  <c r="B122" i="4"/>
  <c r="B124" i="4"/>
  <c r="B121" i="4"/>
  <c r="A119" i="4"/>
  <c r="J112" i="4"/>
  <c r="I11" i="11"/>
  <c r="J66" i="4"/>
  <c r="B66" i="4"/>
  <c r="J83" i="4"/>
  <c r="J114" i="4"/>
  <c r="J108" i="4"/>
  <c r="K114" i="4"/>
  <c r="W120" i="4"/>
  <c r="X120" i="4"/>
  <c r="Y120" i="4"/>
  <c r="AA120" i="4"/>
  <c r="AB120" i="4"/>
  <c r="K120" i="4"/>
  <c r="A2" i="13"/>
  <c r="AB2" i="13"/>
  <c r="Z2" i="13"/>
  <c r="Y2" i="13"/>
  <c r="X2" i="13"/>
  <c r="AA2" i="13" s="1"/>
  <c r="W2" i="13"/>
  <c r="Q2" i="13"/>
  <c r="O2" i="13"/>
  <c r="M2" i="13"/>
  <c r="B2" i="13"/>
  <c r="W119" i="4"/>
  <c r="X119" i="4"/>
  <c r="Y119" i="4"/>
  <c r="AA119" i="4"/>
  <c r="AB119" i="4"/>
  <c r="W118" i="4"/>
  <c r="X118" i="4"/>
  <c r="Y118" i="4"/>
  <c r="AA118" i="4"/>
  <c r="AB118" i="4"/>
  <c r="M119" i="4"/>
  <c r="M118" i="4"/>
  <c r="O119" i="4"/>
  <c r="O118" i="4"/>
  <c r="W115" i="4"/>
  <c r="X115" i="4"/>
  <c r="Y115" i="4"/>
  <c r="AA115" i="4"/>
  <c r="AB115" i="4"/>
  <c r="W116" i="4"/>
  <c r="X116" i="4"/>
  <c r="Y116" i="4"/>
  <c r="AA116" i="4"/>
  <c r="AB116" i="4"/>
  <c r="W117" i="4"/>
  <c r="X117" i="4"/>
  <c r="Y117" i="4"/>
  <c r="AA117" i="4"/>
  <c r="AB117" i="4"/>
  <c r="M115" i="4"/>
  <c r="M116" i="4"/>
  <c r="M117" i="4"/>
  <c r="O115" i="4"/>
  <c r="O116" i="4"/>
  <c r="O117" i="4"/>
  <c r="A113" i="4"/>
  <c r="A114" i="4"/>
  <c r="A115" i="4"/>
  <c r="A116" i="4"/>
  <c r="A117" i="4"/>
  <c r="M33" i="12"/>
  <c r="N33" i="12"/>
  <c r="O33" i="12"/>
  <c r="P33" i="12"/>
  <c r="Q33" i="12"/>
  <c r="R33" i="12"/>
  <c r="B67" i="4"/>
  <c r="I95" i="5"/>
  <c r="J95" i="5" s="1"/>
  <c r="J99" i="9"/>
  <c r="J95" i="9"/>
  <c r="J94" i="9"/>
  <c r="J93" i="9"/>
  <c r="J91" i="9"/>
  <c r="J90" i="9"/>
  <c r="J89" i="9"/>
  <c r="J88" i="9"/>
  <c r="J87" i="9"/>
  <c r="J86" i="9"/>
  <c r="J85" i="9"/>
  <c r="J82" i="9"/>
  <c r="J81" i="9"/>
  <c r="J77" i="9"/>
  <c r="J76" i="9"/>
  <c r="J75" i="9"/>
  <c r="J74" i="9"/>
  <c r="J73" i="9"/>
  <c r="J72" i="9"/>
  <c r="J71" i="9"/>
  <c r="J83" i="9"/>
  <c r="H74" i="9"/>
  <c r="K74" i="9"/>
  <c r="J87" i="5"/>
  <c r="F174" i="9"/>
  <c r="F180" i="9"/>
  <c r="F179" i="9"/>
  <c r="F165" i="9"/>
  <c r="F182" i="9"/>
  <c r="F166" i="9"/>
  <c r="F175" i="9"/>
  <c r="F169" i="9"/>
  <c r="F184" i="9"/>
  <c r="F183" i="9"/>
  <c r="F172" i="9"/>
  <c r="F173" i="9"/>
  <c r="F171" i="9"/>
  <c r="F167" i="9"/>
  <c r="F176" i="9"/>
  <c r="F177" i="9"/>
  <c r="F178" i="9"/>
  <c r="F181" i="9"/>
  <c r="F168" i="9"/>
  <c r="I168" i="9" s="1"/>
  <c r="F170" i="9"/>
  <c r="F185" i="9"/>
  <c r="F164" i="9"/>
  <c r="K6" i="9"/>
  <c r="J6" i="9"/>
  <c r="W114" i="4"/>
  <c r="X114" i="4"/>
  <c r="Y114" i="4"/>
  <c r="AA114" i="4"/>
  <c r="AB114" i="4"/>
  <c r="A111" i="4"/>
  <c r="A112" i="4"/>
  <c r="K39" i="9"/>
  <c r="J39" i="9"/>
  <c r="W113" i="4"/>
  <c r="X113" i="4"/>
  <c r="Y113" i="4"/>
  <c r="AA113" i="4"/>
  <c r="AB113" i="4"/>
  <c r="J113" i="4"/>
  <c r="W140" i="4"/>
  <c r="X140" i="4"/>
  <c r="Y140" i="4"/>
  <c r="AA140" i="4"/>
  <c r="AB140" i="4"/>
  <c r="B140" i="4"/>
  <c r="S13" i="11"/>
  <c r="T13" i="11"/>
  <c r="U13" i="11"/>
  <c r="W13" i="11"/>
  <c r="J27" i="4"/>
  <c r="AB27" i="4"/>
  <c r="Z27" i="4"/>
  <c r="Y27" i="4"/>
  <c r="X27" i="4"/>
  <c r="AA27" i="4" s="1"/>
  <c r="W27" i="4"/>
  <c r="B27" i="4"/>
  <c r="A27" i="4"/>
  <c r="B28" i="4"/>
  <c r="J28" i="4"/>
  <c r="W28" i="4"/>
  <c r="X28" i="4"/>
  <c r="Y28" i="4"/>
  <c r="Z28" i="4"/>
  <c r="AA28" i="4"/>
  <c r="AB28" i="4"/>
  <c r="M112" i="4"/>
  <c r="AB112" i="4"/>
  <c r="Y112" i="4"/>
  <c r="X112" i="4"/>
  <c r="AA112" i="4" s="1"/>
  <c r="W112" i="4"/>
  <c r="B112" i="4"/>
  <c r="J26" i="4"/>
  <c r="J25" i="4"/>
  <c r="C104" i="6"/>
  <c r="F103" i="6"/>
  <c r="E103" i="6"/>
  <c r="G103" i="6" s="1"/>
  <c r="C97" i="6"/>
  <c r="E97" i="6"/>
  <c r="F97" i="6"/>
  <c r="C118" i="6"/>
  <c r="D117" i="6"/>
  <c r="C117" i="6"/>
  <c r="C116" i="6"/>
  <c r="C115" i="6"/>
  <c r="C114" i="6"/>
  <c r="D113" i="6"/>
  <c r="C113" i="6"/>
  <c r="C112" i="6"/>
  <c r="C111" i="6"/>
  <c r="D110" i="6"/>
  <c r="C110" i="6"/>
  <c r="C109" i="6"/>
  <c r="C106" i="6"/>
  <c r="C105" i="6"/>
  <c r="C103" i="6"/>
  <c r="C101" i="6"/>
  <c r="C100" i="6"/>
  <c r="C99" i="6"/>
  <c r="D98" i="6"/>
  <c r="AB110" i="4"/>
  <c r="AB111" i="4"/>
  <c r="AB109" i="4"/>
  <c r="W110" i="4"/>
  <c r="X110" i="4"/>
  <c r="AA110" i="4" s="1"/>
  <c r="Y110" i="4"/>
  <c r="W111" i="4"/>
  <c r="X111" i="4"/>
  <c r="AA111" i="4" s="1"/>
  <c r="Y111" i="4"/>
  <c r="W109" i="4"/>
  <c r="X109" i="4"/>
  <c r="Y109" i="4"/>
  <c r="AA109" i="4"/>
  <c r="O110" i="4"/>
  <c r="O111" i="4"/>
  <c r="O109" i="4"/>
  <c r="M110" i="4"/>
  <c r="M111" i="4"/>
  <c r="M109" i="4"/>
  <c r="A107" i="4"/>
  <c r="A108" i="4"/>
  <c r="A110" i="4"/>
  <c r="A109" i="4"/>
  <c r="B61" i="4"/>
  <c r="I94" i="5"/>
  <c r="J94" i="5" s="1"/>
  <c r="K81" i="9"/>
  <c r="H81" i="9"/>
  <c r="G81" i="9"/>
  <c r="K49" i="9"/>
  <c r="J49" i="9"/>
  <c r="I49" i="9"/>
  <c r="L49" i="9" s="1"/>
  <c r="G179" i="9" s="1"/>
  <c r="I179" i="9" s="1"/>
  <c r="H49" i="9"/>
  <c r="G49" i="9"/>
  <c r="F49" i="9"/>
  <c r="K16" i="9"/>
  <c r="J16" i="9"/>
  <c r="I16" i="9"/>
  <c r="L16" i="9" s="1"/>
  <c r="H16" i="9"/>
  <c r="G16" i="9"/>
  <c r="F16" i="9"/>
  <c r="K101" i="4"/>
  <c r="AB108" i="4"/>
  <c r="Y108" i="4"/>
  <c r="X108" i="4"/>
  <c r="AA108" i="4" s="1"/>
  <c r="W108" i="4"/>
  <c r="M107" i="4"/>
  <c r="M105" i="4"/>
  <c r="M106" i="4"/>
  <c r="M102" i="4"/>
  <c r="M101" i="4"/>
  <c r="M100" i="4"/>
  <c r="M94" i="4"/>
  <c r="M97" i="4"/>
  <c r="M96" i="4"/>
  <c r="M95" i="4"/>
  <c r="M89" i="4"/>
  <c r="M98" i="4"/>
  <c r="M92" i="4"/>
  <c r="M91" i="4"/>
  <c r="M90" i="4"/>
  <c r="M88" i="4"/>
  <c r="M86" i="4"/>
  <c r="M85" i="4"/>
  <c r="M84" i="4"/>
  <c r="M83" i="4"/>
  <c r="M82" i="4"/>
  <c r="M81" i="4"/>
  <c r="M79" i="4"/>
  <c r="M78" i="4"/>
  <c r="M77" i="4"/>
  <c r="M76" i="4"/>
  <c r="M75" i="4"/>
  <c r="M74" i="4"/>
  <c r="M73" i="4"/>
  <c r="M71" i="4"/>
  <c r="M70" i="4"/>
  <c r="M69" i="4"/>
  <c r="M68" i="4"/>
  <c r="M67" i="4"/>
  <c r="M66" i="4"/>
  <c r="M65" i="4"/>
  <c r="M64" i="4"/>
  <c r="M63" i="4"/>
  <c r="M60" i="4"/>
  <c r="M59" i="4"/>
  <c r="M58" i="4"/>
  <c r="M57" i="4"/>
  <c r="M55" i="4"/>
  <c r="M52" i="4"/>
  <c r="M51" i="4"/>
  <c r="M50" i="4"/>
  <c r="M49" i="4"/>
  <c r="M47" i="4"/>
  <c r="M46" i="4"/>
  <c r="M45" i="4"/>
  <c r="M44" i="4"/>
  <c r="M43" i="4"/>
  <c r="M35" i="4"/>
  <c r="M33" i="4"/>
  <c r="M31" i="4"/>
  <c r="M29" i="4"/>
  <c r="M24" i="4"/>
  <c r="M20" i="4"/>
  <c r="M17" i="4"/>
  <c r="M16" i="4"/>
  <c r="M13" i="4"/>
  <c r="M12" i="4"/>
  <c r="M11" i="4"/>
  <c r="M10" i="4"/>
  <c r="M9" i="4"/>
  <c r="M3" i="4"/>
  <c r="M2" i="4"/>
  <c r="O3" i="4"/>
  <c r="O9" i="4"/>
  <c r="O10" i="4"/>
  <c r="O11" i="4"/>
  <c r="O12" i="4"/>
  <c r="O13" i="4"/>
  <c r="O16" i="4"/>
  <c r="O17" i="4"/>
  <c r="O20" i="4"/>
  <c r="O24" i="4"/>
  <c r="O29" i="4"/>
  <c r="O31" i="4"/>
  <c r="O33" i="4"/>
  <c r="O35" i="4"/>
  <c r="O43" i="4"/>
  <c r="O44" i="4"/>
  <c r="O45" i="4"/>
  <c r="O46" i="4"/>
  <c r="O47" i="4"/>
  <c r="O49" i="4"/>
  <c r="O50" i="4"/>
  <c r="O51" i="4"/>
  <c r="O52" i="4"/>
  <c r="O55" i="4"/>
  <c r="O57" i="4"/>
  <c r="O58" i="4"/>
  <c r="O59" i="4"/>
  <c r="O60" i="4"/>
  <c r="O63" i="4"/>
  <c r="O64" i="4"/>
  <c r="O65" i="4"/>
  <c r="O66" i="4"/>
  <c r="O67" i="4"/>
  <c r="O68" i="4"/>
  <c r="O69" i="4"/>
  <c r="O70" i="4"/>
  <c r="O71" i="4"/>
  <c r="O73" i="4"/>
  <c r="O74" i="4"/>
  <c r="O75" i="4"/>
  <c r="O76" i="4"/>
  <c r="O77" i="4"/>
  <c r="O2" i="4"/>
  <c r="F203" i="5"/>
  <c r="G207" i="5"/>
  <c r="W106" i="4"/>
  <c r="X106" i="4"/>
  <c r="AA106" i="4" s="1"/>
  <c r="Y106" i="4"/>
  <c r="AB106" i="4"/>
  <c r="W105" i="4"/>
  <c r="X105" i="4"/>
  <c r="AA105" i="4" s="1"/>
  <c r="Y105" i="4"/>
  <c r="AB105" i="4"/>
  <c r="W107" i="4"/>
  <c r="X107" i="4"/>
  <c r="AA107" i="4" s="1"/>
  <c r="Y107" i="4"/>
  <c r="AB107" i="4"/>
  <c r="O106" i="4"/>
  <c r="O105" i="4"/>
  <c r="O107" i="4"/>
  <c r="A104" i="4"/>
  <c r="A106" i="4"/>
  <c r="A105" i="4"/>
  <c r="W104" i="4"/>
  <c r="X104" i="4"/>
  <c r="Y104" i="4"/>
  <c r="Z104" i="4"/>
  <c r="AA104" i="4"/>
  <c r="AB104" i="4"/>
  <c r="J104" i="4"/>
  <c r="F95" i="6"/>
  <c r="C91" i="6"/>
  <c r="C83" i="6"/>
  <c r="D88" i="6"/>
  <c r="D95" i="6"/>
  <c r="J93" i="5"/>
  <c r="J92" i="5"/>
  <c r="J91" i="5"/>
  <c r="J90" i="5"/>
  <c r="K83" i="5"/>
  <c r="K84" i="5"/>
  <c r="K85" i="5"/>
  <c r="K86" i="5"/>
  <c r="K82" i="5"/>
  <c r="I87" i="5"/>
  <c r="K87" i="5"/>
  <c r="H87" i="5"/>
  <c r="J80" i="9"/>
  <c r="J79" i="9"/>
  <c r="W103" i="4"/>
  <c r="X103" i="4"/>
  <c r="Y103" i="4"/>
  <c r="Z103" i="4"/>
  <c r="AA103" i="4"/>
  <c r="AB103" i="4"/>
  <c r="J103" i="4"/>
  <c r="W100" i="4"/>
  <c r="X100" i="4"/>
  <c r="Y100" i="4"/>
  <c r="Z100" i="4"/>
  <c r="AA100" i="4"/>
  <c r="AB100" i="4"/>
  <c r="W101" i="4"/>
  <c r="X101" i="4"/>
  <c r="Y101" i="4"/>
  <c r="Z101" i="4"/>
  <c r="AA101" i="4"/>
  <c r="AB101" i="4"/>
  <c r="W102" i="4"/>
  <c r="X102" i="4"/>
  <c r="Y102" i="4"/>
  <c r="Z102" i="4"/>
  <c r="AA102" i="4"/>
  <c r="AB102" i="4"/>
  <c r="O100" i="4"/>
  <c r="O101" i="4"/>
  <c r="O102" i="4"/>
  <c r="J56" i="4"/>
  <c r="B63" i="4"/>
  <c r="K59" i="4"/>
  <c r="AB58" i="4"/>
  <c r="Z58" i="4"/>
  <c r="Y58" i="4"/>
  <c r="X58" i="4"/>
  <c r="AA58" i="4" s="1"/>
  <c r="W58" i="4"/>
  <c r="B58" i="4"/>
  <c r="A58" i="4"/>
  <c r="B59" i="4"/>
  <c r="K11" i="9"/>
  <c r="J11" i="9"/>
  <c r="H11" i="9"/>
  <c r="W99" i="4"/>
  <c r="X99" i="4"/>
  <c r="Y99" i="4"/>
  <c r="Z99" i="4"/>
  <c r="AA99" i="4"/>
  <c r="AB99" i="4"/>
  <c r="J99" i="4"/>
  <c r="K44" i="9"/>
  <c r="J44" i="9"/>
  <c r="H44" i="9"/>
  <c r="W98" i="4"/>
  <c r="X98" i="4"/>
  <c r="Y98" i="4"/>
  <c r="Z98" i="4"/>
  <c r="AA98" i="4"/>
  <c r="AB98" i="4"/>
  <c r="W89" i="4"/>
  <c r="X89" i="4"/>
  <c r="Y89" i="4"/>
  <c r="Z89" i="4"/>
  <c r="AA89" i="4"/>
  <c r="AB89" i="4"/>
  <c r="W95" i="4"/>
  <c r="X95" i="4"/>
  <c r="Y95" i="4"/>
  <c r="Z95" i="4"/>
  <c r="AA95" i="4"/>
  <c r="AB95" i="4"/>
  <c r="W96" i="4"/>
  <c r="X96" i="4"/>
  <c r="G27" i="9" s="1"/>
  <c r="Y96" i="4"/>
  <c r="Z96" i="4"/>
  <c r="AA96" i="4"/>
  <c r="AB96" i="4"/>
  <c r="W97" i="4"/>
  <c r="X97" i="4"/>
  <c r="Y97" i="4"/>
  <c r="Z97" i="4"/>
  <c r="AA97" i="4"/>
  <c r="AB97" i="4"/>
  <c r="W94" i="4"/>
  <c r="X94" i="4"/>
  <c r="Y94" i="4"/>
  <c r="Z94" i="4"/>
  <c r="AA94" i="4"/>
  <c r="AB94" i="4"/>
  <c r="O98" i="4"/>
  <c r="O89" i="4"/>
  <c r="O95" i="4"/>
  <c r="O96" i="4"/>
  <c r="O97" i="4"/>
  <c r="O94" i="4"/>
  <c r="K80" i="4"/>
  <c r="J80" i="4" s="1"/>
  <c r="O92" i="4"/>
  <c r="O90" i="4"/>
  <c r="O88" i="4"/>
  <c r="O86" i="4"/>
  <c r="O85" i="4"/>
  <c r="O84" i="4"/>
  <c r="O83" i="4"/>
  <c r="O82" i="4"/>
  <c r="O81" i="4"/>
  <c r="O79" i="4"/>
  <c r="O78" i="4"/>
  <c r="O91" i="4"/>
  <c r="W93" i="4"/>
  <c r="X93" i="4"/>
  <c r="Y93" i="4"/>
  <c r="Z93" i="4"/>
  <c r="AA93" i="4"/>
  <c r="AB93" i="4"/>
  <c r="J93" i="4"/>
  <c r="H48" i="9"/>
  <c r="F63" i="9"/>
  <c r="F62" i="9" s="1"/>
  <c r="F59" i="9"/>
  <c r="F46" i="9"/>
  <c r="F30" i="9"/>
  <c r="F26" i="9"/>
  <c r="F13" i="9"/>
  <c r="G30" i="9"/>
  <c r="G28" i="9"/>
  <c r="G23" i="9"/>
  <c r="G17" i="9"/>
  <c r="G13" i="9"/>
  <c r="F117" i="9"/>
  <c r="G117" i="9"/>
  <c r="H117" i="9"/>
  <c r="I117" i="9"/>
  <c r="K117" i="9"/>
  <c r="L117" i="9"/>
  <c r="M117" i="9"/>
  <c r="K83" i="9"/>
  <c r="J47" i="9"/>
  <c r="K47" i="9"/>
  <c r="J14" i="9"/>
  <c r="K14" i="9"/>
  <c r="H33" i="12"/>
  <c r="I33" i="12"/>
  <c r="J33" i="12"/>
  <c r="K33" i="12"/>
  <c r="G33" i="12"/>
  <c r="D72" i="6"/>
  <c r="D76" i="6"/>
  <c r="D84" i="6"/>
  <c r="C94" i="6"/>
  <c r="C70" i="6"/>
  <c r="F69" i="6"/>
  <c r="D69" i="6"/>
  <c r="C69" i="6"/>
  <c r="C68" i="6"/>
  <c r="C67" i="6"/>
  <c r="C66" i="6"/>
  <c r="C65" i="6"/>
  <c r="D64" i="6"/>
  <c r="C64" i="6"/>
  <c r="C63" i="6"/>
  <c r="C62" i="6"/>
  <c r="C61" i="6"/>
  <c r="C60" i="6"/>
  <c r="C59" i="6"/>
  <c r="C58" i="6"/>
  <c r="C57" i="6"/>
  <c r="C56" i="6"/>
  <c r="C55" i="6"/>
  <c r="C54" i="6"/>
  <c r="C53" i="6"/>
  <c r="D52" i="6"/>
  <c r="C51" i="6"/>
  <c r="C50" i="6"/>
  <c r="C49" i="6"/>
  <c r="W91" i="4"/>
  <c r="X91" i="4"/>
  <c r="Y91" i="4"/>
  <c r="Z91" i="4"/>
  <c r="AA91" i="4"/>
  <c r="AB91" i="4"/>
  <c r="W90" i="4"/>
  <c r="X90" i="4"/>
  <c r="Y90" i="4"/>
  <c r="Z90" i="4"/>
  <c r="AA90" i="4"/>
  <c r="AB90" i="4"/>
  <c r="W92" i="4"/>
  <c r="X92" i="4"/>
  <c r="Y92" i="4"/>
  <c r="Z92" i="4"/>
  <c r="AA92" i="4"/>
  <c r="AB92" i="4"/>
  <c r="W88" i="4"/>
  <c r="X88" i="4"/>
  <c r="Y88" i="4"/>
  <c r="Z88" i="4"/>
  <c r="AA88" i="4"/>
  <c r="AB88" i="4"/>
  <c r="B91" i="4"/>
  <c r="B90" i="4"/>
  <c r="B92" i="4"/>
  <c r="B88" i="4"/>
  <c r="H62" i="9"/>
  <c r="M125" i="9"/>
  <c r="AB87" i="4"/>
  <c r="W87" i="4"/>
  <c r="X87" i="4"/>
  <c r="Y87" i="4"/>
  <c r="Z87" i="4"/>
  <c r="AA87" i="4"/>
  <c r="J87" i="4"/>
  <c r="F123" i="9"/>
  <c r="G123" i="9"/>
  <c r="H123" i="9"/>
  <c r="I123" i="9"/>
  <c r="J123" i="9"/>
  <c r="K123" i="9"/>
  <c r="L123" i="9"/>
  <c r="M123" i="9"/>
  <c r="N123" i="9" s="1"/>
  <c r="F242" i="9" s="1"/>
  <c r="H90" i="9"/>
  <c r="K90" i="9"/>
  <c r="G89" i="9"/>
  <c r="H89" i="9"/>
  <c r="K89" i="9"/>
  <c r="K55" i="9"/>
  <c r="J55" i="9"/>
  <c r="K22" i="9"/>
  <c r="J22" i="9"/>
  <c r="G91" i="9"/>
  <c r="G82" i="9"/>
  <c r="K82" i="9"/>
  <c r="H82" i="9"/>
  <c r="K50" i="9"/>
  <c r="J50" i="9"/>
  <c r="H50" i="9"/>
  <c r="G50" i="9"/>
  <c r="AB84" i="4"/>
  <c r="AB81" i="4"/>
  <c r="AB82" i="4"/>
  <c r="AB80" i="4"/>
  <c r="AB78" i="4"/>
  <c r="AB86" i="4"/>
  <c r="AB85" i="4"/>
  <c r="AB83" i="4"/>
  <c r="W71" i="4"/>
  <c r="W72" i="4"/>
  <c r="W73" i="4"/>
  <c r="W74" i="4"/>
  <c r="W75" i="4"/>
  <c r="W76" i="4"/>
  <c r="W77" i="4"/>
  <c r="W79" i="4"/>
  <c r="W84" i="4"/>
  <c r="W81" i="4"/>
  <c r="W82" i="4"/>
  <c r="W80" i="4"/>
  <c r="W78" i="4"/>
  <c r="W86" i="4"/>
  <c r="W85" i="4"/>
  <c r="W83" i="4"/>
  <c r="X78" i="4"/>
  <c r="Y78" i="4"/>
  <c r="Z78" i="4"/>
  <c r="X86" i="4"/>
  <c r="AA86" i="4" s="1"/>
  <c r="Y86" i="4"/>
  <c r="Z86" i="4"/>
  <c r="X85" i="4"/>
  <c r="AA85" i="4" s="1"/>
  <c r="Y85" i="4"/>
  <c r="Z85" i="4"/>
  <c r="X83" i="4"/>
  <c r="AA83" i="4" s="1"/>
  <c r="Y83" i="4"/>
  <c r="Z83" i="4"/>
  <c r="W11" i="11"/>
  <c r="W12" i="11"/>
  <c r="V11" i="11"/>
  <c r="V12" i="11"/>
  <c r="U11" i="11"/>
  <c r="U12" i="11"/>
  <c r="T11" i="11"/>
  <c r="T12" i="11"/>
  <c r="W41" i="4"/>
  <c r="X41" i="4"/>
  <c r="Y41" i="4"/>
  <c r="Z41" i="4"/>
  <c r="AA41" i="4"/>
  <c r="AB41" i="4"/>
  <c r="B41" i="4"/>
  <c r="J42" i="4"/>
  <c r="J41" i="4"/>
  <c r="I12" i="11"/>
  <c r="S10" i="11"/>
  <c r="S11" i="11"/>
  <c r="S12" i="11"/>
  <c r="M12" i="11"/>
  <c r="M108" i="9"/>
  <c r="L108" i="9"/>
  <c r="K108" i="9"/>
  <c r="I131" i="9"/>
  <c r="I130" i="9"/>
  <c r="I133" i="9"/>
  <c r="I132" i="9"/>
  <c r="I129" i="9"/>
  <c r="I127" i="9"/>
  <c r="I126" i="9"/>
  <c r="I122" i="9"/>
  <c r="I125" i="9"/>
  <c r="I121" i="9"/>
  <c r="I124" i="9"/>
  <c r="I119" i="9"/>
  <c r="I118" i="9"/>
  <c r="I116" i="9"/>
  <c r="I114" i="9"/>
  <c r="I113" i="9"/>
  <c r="I112" i="9"/>
  <c r="I111" i="9"/>
  <c r="I110" i="9"/>
  <c r="I109" i="9"/>
  <c r="I108" i="9"/>
  <c r="H136" i="9"/>
  <c r="H135" i="9"/>
  <c r="H131" i="9"/>
  <c r="H130" i="9"/>
  <c r="H133" i="9"/>
  <c r="H132" i="9"/>
  <c r="H129" i="9"/>
  <c r="H127" i="9"/>
  <c r="H126" i="9"/>
  <c r="H122" i="9"/>
  <c r="H125" i="9"/>
  <c r="H121" i="9"/>
  <c r="H124" i="9"/>
  <c r="H119" i="9"/>
  <c r="H118" i="9"/>
  <c r="H116" i="9"/>
  <c r="H114" i="9"/>
  <c r="H113" i="9"/>
  <c r="H112" i="9"/>
  <c r="H111" i="9"/>
  <c r="H110" i="9"/>
  <c r="H109" i="9"/>
  <c r="H108" i="9"/>
  <c r="F108" i="9"/>
  <c r="K100" i="9"/>
  <c r="K99" i="9"/>
  <c r="K95" i="9"/>
  <c r="K94" i="9"/>
  <c r="K97" i="9"/>
  <c r="K96" i="9"/>
  <c r="K93" i="9"/>
  <c r="K88" i="9"/>
  <c r="K87" i="9"/>
  <c r="K86" i="9"/>
  <c r="K85" i="9"/>
  <c r="K91" i="9"/>
  <c r="K80" i="9"/>
  <c r="K79" i="9"/>
  <c r="K76" i="9"/>
  <c r="K75" i="9"/>
  <c r="K73" i="9"/>
  <c r="K72" i="9"/>
  <c r="K71" i="9"/>
  <c r="K77" i="9"/>
  <c r="H94" i="9"/>
  <c r="H97" i="9"/>
  <c r="H93" i="9"/>
  <c r="H88" i="9"/>
  <c r="H87" i="9"/>
  <c r="H86" i="9"/>
  <c r="H85" i="9"/>
  <c r="H91" i="9"/>
  <c r="H80" i="9"/>
  <c r="H76" i="9"/>
  <c r="H75" i="9"/>
  <c r="H73" i="9"/>
  <c r="H72" i="9"/>
  <c r="H77" i="9"/>
  <c r="G100" i="9"/>
  <c r="G99" i="9"/>
  <c r="G97" i="9"/>
  <c r="G86" i="9"/>
  <c r="F100" i="9"/>
  <c r="F99" i="9"/>
  <c r="F96" i="9"/>
  <c r="F93" i="9"/>
  <c r="K63" i="9"/>
  <c r="K61" i="9"/>
  <c r="K60" i="9"/>
  <c r="K59" i="9"/>
  <c r="K56" i="9"/>
  <c r="K54" i="9"/>
  <c r="K53" i="9"/>
  <c r="K52" i="9"/>
  <c r="K57" i="9"/>
  <c r="K48" i="9"/>
  <c r="K46" i="9"/>
  <c r="K43" i="9"/>
  <c r="K42" i="9"/>
  <c r="K41" i="9"/>
  <c r="K40" i="9"/>
  <c r="K38" i="9"/>
  <c r="J63" i="9"/>
  <c r="J62" i="9" s="1"/>
  <c r="J61" i="9"/>
  <c r="J60" i="9"/>
  <c r="J59" i="9"/>
  <c r="J56" i="9"/>
  <c r="J54" i="9"/>
  <c r="J53" i="9"/>
  <c r="J52" i="9"/>
  <c r="J57" i="9"/>
  <c r="J48" i="9"/>
  <c r="J46" i="9"/>
  <c r="J43" i="9"/>
  <c r="J42" i="9"/>
  <c r="J41" i="9"/>
  <c r="J40" i="9"/>
  <c r="J38" i="9"/>
  <c r="H61" i="9"/>
  <c r="H60" i="9"/>
  <c r="H59" i="9"/>
  <c r="H54" i="9"/>
  <c r="H53" i="9"/>
  <c r="H52" i="9"/>
  <c r="H57" i="9"/>
  <c r="H43" i="9"/>
  <c r="H42" i="9"/>
  <c r="H41" i="9"/>
  <c r="G63" i="9"/>
  <c r="G62" i="9" s="1"/>
  <c r="G61" i="9"/>
  <c r="G60" i="9"/>
  <c r="G53" i="9"/>
  <c r="G57" i="9"/>
  <c r="K30" i="9"/>
  <c r="K29" i="9" s="1"/>
  <c r="K28" i="9"/>
  <c r="K27" i="9"/>
  <c r="K26" i="9"/>
  <c r="K23" i="9"/>
  <c r="K21" i="9"/>
  <c r="K20" i="9"/>
  <c r="K19" i="9"/>
  <c r="K24" i="9"/>
  <c r="K17" i="9"/>
  <c r="K15" i="9"/>
  <c r="K13" i="9"/>
  <c r="K10" i="9"/>
  <c r="K9" i="9"/>
  <c r="K8" i="9"/>
  <c r="K7" i="9"/>
  <c r="K5" i="9"/>
  <c r="J30" i="9"/>
  <c r="J29" i="9" s="1"/>
  <c r="J28" i="9"/>
  <c r="J27" i="9"/>
  <c r="J26" i="9"/>
  <c r="J23" i="9"/>
  <c r="J21" i="9"/>
  <c r="J20" i="9"/>
  <c r="J19" i="9"/>
  <c r="J24" i="9"/>
  <c r="J17" i="9"/>
  <c r="J15" i="9"/>
  <c r="J13" i="9"/>
  <c r="J10" i="9"/>
  <c r="J9" i="9"/>
  <c r="J8" i="9"/>
  <c r="J7" i="9"/>
  <c r="J5" i="9"/>
  <c r="H28" i="9"/>
  <c r="H27" i="9"/>
  <c r="H26" i="9"/>
  <c r="H21" i="9"/>
  <c r="H20" i="9"/>
  <c r="H19" i="9"/>
  <c r="H24" i="9"/>
  <c r="H17" i="9"/>
  <c r="H15" i="9"/>
  <c r="H10" i="9"/>
  <c r="H9" i="9"/>
  <c r="H8" i="9"/>
  <c r="G29" i="9"/>
  <c r="X84" i="4"/>
  <c r="Y84" i="4"/>
  <c r="Z84" i="4"/>
  <c r="X81" i="4"/>
  <c r="AA81" i="4" s="1"/>
  <c r="Y81" i="4"/>
  <c r="Z81" i="4"/>
  <c r="X82" i="4"/>
  <c r="Y82" i="4"/>
  <c r="Z82" i="4"/>
  <c r="X80" i="4"/>
  <c r="Y80" i="4"/>
  <c r="Z80" i="4"/>
  <c r="J5" i="4"/>
  <c r="J118" i="9" s="1"/>
  <c r="AB39" i="4"/>
  <c r="W39" i="4"/>
  <c r="X39" i="4"/>
  <c r="Y39" i="4"/>
  <c r="Z39" i="4"/>
  <c r="AA39" i="4"/>
  <c r="J39" i="4"/>
  <c r="J38" i="4"/>
  <c r="B39" i="4"/>
  <c r="A39" i="4"/>
  <c r="A9" i="11"/>
  <c r="D22" i="6"/>
  <c r="D40" i="6"/>
  <c r="D25" i="6"/>
  <c r="D29" i="6"/>
  <c r="D17" i="6"/>
  <c r="D6" i="6"/>
  <c r="C95" i="6"/>
  <c r="C88" i="6"/>
  <c r="C84" i="6"/>
  <c r="C87" i="6"/>
  <c r="D45" i="6"/>
  <c r="F45" i="6"/>
  <c r="C45" i="6"/>
  <c r="C40" i="6"/>
  <c r="C37" i="6"/>
  <c r="F22" i="6"/>
  <c r="C2" i="6"/>
  <c r="D3" i="6"/>
  <c r="C22" i="6"/>
  <c r="C17" i="6"/>
  <c r="C14" i="6"/>
  <c r="C44" i="6"/>
  <c r="C43" i="6"/>
  <c r="C21" i="6"/>
  <c r="C20" i="6"/>
  <c r="A12" i="11"/>
  <c r="C74" i="6"/>
  <c r="C75" i="6"/>
  <c r="A79" i="4"/>
  <c r="B79" i="4"/>
  <c r="X79" i="4"/>
  <c r="Y79" i="4"/>
  <c r="Z79" i="4"/>
  <c r="AB79" i="4"/>
  <c r="F124" i="9"/>
  <c r="G124" i="9"/>
  <c r="J124" i="9"/>
  <c r="K124" i="9"/>
  <c r="L124" i="9"/>
  <c r="M124" i="9"/>
  <c r="X71" i="4"/>
  <c r="X72" i="4"/>
  <c r="AA72" i="4" s="1"/>
  <c r="X73" i="4"/>
  <c r="AA73" i="4" s="1"/>
  <c r="X74" i="4"/>
  <c r="AA74" i="4" s="1"/>
  <c r="X75" i="4"/>
  <c r="AA75" i="4" s="1"/>
  <c r="X76" i="4"/>
  <c r="AA76" i="4" s="1"/>
  <c r="X77" i="4"/>
  <c r="AA77" i="4" s="1"/>
  <c r="Y75" i="4"/>
  <c r="Z75" i="4"/>
  <c r="AB75" i="4"/>
  <c r="Y76" i="4"/>
  <c r="Z76" i="4"/>
  <c r="AB76" i="4"/>
  <c r="Y77" i="4"/>
  <c r="Z77" i="4"/>
  <c r="AB77" i="4"/>
  <c r="F119" i="9"/>
  <c r="G119" i="9"/>
  <c r="J119" i="9"/>
  <c r="K119" i="9"/>
  <c r="L119" i="9"/>
  <c r="M119" i="9"/>
  <c r="F131" i="9"/>
  <c r="G131" i="9"/>
  <c r="J131" i="9"/>
  <c r="K131" i="9"/>
  <c r="L131" i="9"/>
  <c r="M131" i="9"/>
  <c r="A69" i="4"/>
  <c r="B69" i="4"/>
  <c r="J53" i="4"/>
  <c r="Y69" i="4"/>
  <c r="Z69" i="4"/>
  <c r="AB69" i="4"/>
  <c r="K69" i="4"/>
  <c r="Z66" i="4"/>
  <c r="Z72" i="4"/>
  <c r="Z73" i="4"/>
  <c r="Z74" i="4"/>
  <c r="AB71" i="4"/>
  <c r="AB66" i="4"/>
  <c r="AB72" i="4"/>
  <c r="AB73" i="4"/>
  <c r="AB74" i="4"/>
  <c r="Y73" i="4"/>
  <c r="Y74" i="4"/>
  <c r="K74" i="4"/>
  <c r="K73" i="4"/>
  <c r="Y72" i="4"/>
  <c r="J72" i="4"/>
  <c r="A72" i="4"/>
  <c r="K46" i="4"/>
  <c r="Y71" i="4"/>
  <c r="Z71" i="4"/>
  <c r="W66" i="4"/>
  <c r="X66" i="4"/>
  <c r="Y66" i="4"/>
  <c r="F130" i="9"/>
  <c r="G130" i="9"/>
  <c r="J130" i="9"/>
  <c r="K130" i="9"/>
  <c r="L130" i="9"/>
  <c r="M130" i="9"/>
  <c r="W70" i="4"/>
  <c r="X70" i="4"/>
  <c r="Y70" i="4"/>
  <c r="Z70" i="4"/>
  <c r="AA70" i="4"/>
  <c r="AB70" i="4"/>
  <c r="W68" i="4"/>
  <c r="X68" i="4"/>
  <c r="Y68" i="4"/>
  <c r="Z68" i="4"/>
  <c r="AA68" i="4"/>
  <c r="AB68" i="4"/>
  <c r="W67" i="4"/>
  <c r="X67" i="4"/>
  <c r="Y67" i="4"/>
  <c r="Z67" i="4"/>
  <c r="AA67" i="4"/>
  <c r="AB67" i="4"/>
  <c r="B70" i="4"/>
  <c r="B68" i="4"/>
  <c r="B71" i="4"/>
  <c r="C89" i="6"/>
  <c r="AB63" i="4"/>
  <c r="AB65" i="4"/>
  <c r="AB64" i="4"/>
  <c r="W63" i="4"/>
  <c r="X63" i="4"/>
  <c r="Y63" i="4"/>
  <c r="Z63" i="4"/>
  <c r="AA63" i="4"/>
  <c r="G76" i="9" s="1"/>
  <c r="W65" i="4"/>
  <c r="X65" i="4"/>
  <c r="Y65" i="4"/>
  <c r="Z65" i="4"/>
  <c r="AA65" i="4"/>
  <c r="W64" i="4"/>
  <c r="X64" i="4"/>
  <c r="Y64" i="4"/>
  <c r="Z64" i="4"/>
  <c r="AA64" i="4"/>
  <c r="J100" i="9"/>
  <c r="J97" i="9"/>
  <c r="J96" i="9"/>
  <c r="H95" i="9"/>
  <c r="M136" i="9"/>
  <c r="L136" i="9"/>
  <c r="K136" i="9"/>
  <c r="G136" i="9"/>
  <c r="F136" i="9"/>
  <c r="M135" i="9"/>
  <c r="L135" i="9"/>
  <c r="K135" i="9"/>
  <c r="G135" i="9"/>
  <c r="F135" i="9"/>
  <c r="I134" i="9"/>
  <c r="M133" i="9"/>
  <c r="L133" i="9"/>
  <c r="K133" i="9"/>
  <c r="J133" i="9"/>
  <c r="G133" i="9"/>
  <c r="F133" i="9"/>
  <c r="M132" i="9"/>
  <c r="L132" i="9"/>
  <c r="K132" i="9"/>
  <c r="J132" i="9"/>
  <c r="N132" i="9" s="1"/>
  <c r="F234" i="9" s="1"/>
  <c r="G132" i="9"/>
  <c r="F132" i="9"/>
  <c r="M129" i="9"/>
  <c r="L129" i="9"/>
  <c r="K129" i="9"/>
  <c r="J129" i="9"/>
  <c r="G129" i="9"/>
  <c r="F129" i="9"/>
  <c r="M127" i="9"/>
  <c r="L127" i="9"/>
  <c r="K127" i="9"/>
  <c r="G127" i="9"/>
  <c r="F127" i="9"/>
  <c r="M126" i="9"/>
  <c r="L126" i="9"/>
  <c r="K126" i="9"/>
  <c r="G126" i="9"/>
  <c r="F126" i="9"/>
  <c r="M122" i="9"/>
  <c r="L122" i="9"/>
  <c r="K122" i="9"/>
  <c r="G122" i="9"/>
  <c r="F122" i="9"/>
  <c r="L125" i="9"/>
  <c r="K125" i="9"/>
  <c r="J125" i="9"/>
  <c r="G125" i="9"/>
  <c r="F125" i="9"/>
  <c r="L121" i="9"/>
  <c r="K121" i="9"/>
  <c r="G121" i="9"/>
  <c r="F121" i="9"/>
  <c r="L118" i="9"/>
  <c r="K118" i="9"/>
  <c r="G118" i="9"/>
  <c r="F118" i="9"/>
  <c r="L116" i="9"/>
  <c r="K116" i="9"/>
  <c r="G116" i="9"/>
  <c r="F116" i="9"/>
  <c r="M114" i="9"/>
  <c r="L114" i="9"/>
  <c r="K114" i="9"/>
  <c r="J114" i="9"/>
  <c r="N114" i="9" s="1"/>
  <c r="F228" i="9" s="1"/>
  <c r="G114" i="9"/>
  <c r="F114" i="9"/>
  <c r="M113" i="9"/>
  <c r="L113" i="9"/>
  <c r="K113" i="9"/>
  <c r="J113" i="9"/>
  <c r="N113" i="9" s="1"/>
  <c r="F230" i="9" s="1"/>
  <c r="G113" i="9"/>
  <c r="F113" i="9"/>
  <c r="M112" i="9"/>
  <c r="L112" i="9"/>
  <c r="K112" i="9"/>
  <c r="G112" i="9"/>
  <c r="F112" i="9"/>
  <c r="L111" i="9"/>
  <c r="K111" i="9"/>
  <c r="G111" i="9"/>
  <c r="F111" i="9"/>
  <c r="M110" i="9"/>
  <c r="L110" i="9"/>
  <c r="K110" i="9"/>
  <c r="J110" i="9"/>
  <c r="N110" i="9" s="1"/>
  <c r="G110" i="9"/>
  <c r="F110" i="9"/>
  <c r="M109" i="9"/>
  <c r="L109" i="9"/>
  <c r="K109" i="9"/>
  <c r="J109" i="9"/>
  <c r="N109" i="9" s="1"/>
  <c r="G109" i="9"/>
  <c r="F109" i="9"/>
  <c r="G108" i="9"/>
  <c r="K25" i="9"/>
  <c r="J25" i="9"/>
  <c r="J21" i="4"/>
  <c r="M21" i="4" s="1"/>
  <c r="K98" i="9"/>
  <c r="K92" i="9"/>
  <c r="W61" i="4"/>
  <c r="X61" i="4"/>
  <c r="Y61" i="4"/>
  <c r="Z61" i="4"/>
  <c r="W62" i="4"/>
  <c r="X62" i="4"/>
  <c r="AA62" i="4" s="1"/>
  <c r="Y62" i="4"/>
  <c r="Z62" i="4"/>
  <c r="AB61" i="4"/>
  <c r="AB62" i="4"/>
  <c r="T10" i="11"/>
  <c r="W10" i="11" s="1"/>
  <c r="U10" i="11"/>
  <c r="V10" i="11"/>
  <c r="Q2" i="4"/>
  <c r="J62" i="4"/>
  <c r="A62" i="4"/>
  <c r="A61" i="4"/>
  <c r="W35" i="4"/>
  <c r="X35" i="4"/>
  <c r="AA35" i="4" s="1"/>
  <c r="Y35" i="4"/>
  <c r="Z35" i="4"/>
  <c r="AB35" i="4"/>
  <c r="J34" i="4"/>
  <c r="B35" i="4"/>
  <c r="A35" i="4"/>
  <c r="J61" i="4"/>
  <c r="A10" i="11"/>
  <c r="M9" i="11"/>
  <c r="S9" i="11"/>
  <c r="T9" i="11"/>
  <c r="W9" i="11" s="1"/>
  <c r="U9" i="11"/>
  <c r="V9" i="11"/>
  <c r="I9" i="11"/>
  <c r="A3" i="11"/>
  <c r="A4" i="11"/>
  <c r="A5" i="11"/>
  <c r="A6" i="11"/>
  <c r="A7" i="11"/>
  <c r="A8" i="11"/>
  <c r="A11" i="11"/>
  <c r="A13" i="11"/>
  <c r="A14" i="11"/>
  <c r="A2" i="11"/>
  <c r="W60" i="4"/>
  <c r="X60" i="4"/>
  <c r="AA60" i="4" s="1"/>
  <c r="Y60" i="4"/>
  <c r="Z60" i="4"/>
  <c r="AB60" i="4"/>
  <c r="W57" i="4"/>
  <c r="X57" i="4"/>
  <c r="Y57" i="4"/>
  <c r="Z57" i="4"/>
  <c r="AB57" i="4"/>
  <c r="W59" i="4"/>
  <c r="X59" i="4"/>
  <c r="AA59" i="4" s="1"/>
  <c r="Y59" i="4"/>
  <c r="Z59" i="4"/>
  <c r="AB59" i="4"/>
  <c r="W55" i="4"/>
  <c r="X55" i="4"/>
  <c r="Y55" i="4"/>
  <c r="Z55" i="4"/>
  <c r="AB55" i="4"/>
  <c r="W56" i="4"/>
  <c r="X56" i="4"/>
  <c r="AA56" i="4" s="1"/>
  <c r="Y56" i="4"/>
  <c r="Z56" i="4"/>
  <c r="AB56" i="4"/>
  <c r="B60" i="4"/>
  <c r="B57" i="4"/>
  <c r="B55" i="4"/>
  <c r="B56" i="4"/>
  <c r="J15" i="4"/>
  <c r="J14" i="4"/>
  <c r="AB15" i="4"/>
  <c r="Z15" i="4"/>
  <c r="Y15" i="4"/>
  <c r="X15" i="4"/>
  <c r="AA15" i="4" s="1"/>
  <c r="G90" i="9" s="1"/>
  <c r="W15" i="4"/>
  <c r="B15" i="4"/>
  <c r="A15" i="4"/>
  <c r="R8" i="6"/>
  <c r="W54" i="4"/>
  <c r="X54" i="4"/>
  <c r="AA54" i="4" s="1"/>
  <c r="Y54" i="4"/>
  <c r="Z54" i="4"/>
  <c r="AB54" i="4"/>
  <c r="AB52" i="4"/>
  <c r="J54" i="4"/>
  <c r="M118" i="9"/>
  <c r="W53" i="4"/>
  <c r="X53" i="4"/>
  <c r="AA53" i="4" s="1"/>
  <c r="Y53" i="4"/>
  <c r="Z53" i="4"/>
  <c r="AB53" i="4"/>
  <c r="W52" i="4"/>
  <c r="X52" i="4"/>
  <c r="AA52" i="4" s="1"/>
  <c r="Y52" i="4"/>
  <c r="Z52" i="4"/>
  <c r="W51" i="4"/>
  <c r="X51" i="4"/>
  <c r="AA51" i="4" s="1"/>
  <c r="Y51" i="4"/>
  <c r="Z51" i="4"/>
  <c r="AB51" i="4"/>
  <c r="W49" i="4"/>
  <c r="X49" i="4"/>
  <c r="AA49" i="4" s="1"/>
  <c r="Y49" i="4"/>
  <c r="Z49" i="4"/>
  <c r="AB49" i="4"/>
  <c r="W50" i="4"/>
  <c r="X50" i="4"/>
  <c r="Y50" i="4"/>
  <c r="Z50" i="4"/>
  <c r="AB50" i="4"/>
  <c r="M7" i="11"/>
  <c r="S7" i="11"/>
  <c r="T7" i="11"/>
  <c r="W7" i="11" s="1"/>
  <c r="U7" i="11"/>
  <c r="V7" i="11"/>
  <c r="M8" i="11"/>
  <c r="S8" i="11"/>
  <c r="T8" i="11"/>
  <c r="W8" i="11" s="1"/>
  <c r="U8" i="11"/>
  <c r="V8" i="11"/>
  <c r="I8" i="11"/>
  <c r="B8" i="11"/>
  <c r="J7" i="4"/>
  <c r="J8" i="4"/>
  <c r="AB8" i="4"/>
  <c r="Z8" i="4"/>
  <c r="Y8" i="4"/>
  <c r="X8" i="4"/>
  <c r="W8" i="4"/>
  <c r="B8" i="4"/>
  <c r="A8" i="4"/>
  <c r="I7" i="11"/>
  <c r="B7" i="11"/>
  <c r="J36" i="4"/>
  <c r="J37" i="4"/>
  <c r="AB37" i="4"/>
  <c r="Z37" i="4"/>
  <c r="Y37" i="4"/>
  <c r="X37" i="4"/>
  <c r="W37" i="4"/>
  <c r="B37" i="4"/>
  <c r="A37" i="4"/>
  <c r="K62" i="9"/>
  <c r="K58" i="9"/>
  <c r="J58" i="9"/>
  <c r="S3" i="11"/>
  <c r="T3" i="11"/>
  <c r="W3" i="11" s="1"/>
  <c r="U3" i="11"/>
  <c r="V3" i="11"/>
  <c r="M3" i="11"/>
  <c r="I3" i="11"/>
  <c r="M2" i="11"/>
  <c r="S2" i="11"/>
  <c r="T2" i="11"/>
  <c r="W2" i="11" s="1"/>
  <c r="U2" i="11"/>
  <c r="V2" i="11"/>
  <c r="I2" i="11"/>
  <c r="M116" i="9" s="1"/>
  <c r="M5" i="11"/>
  <c r="M6" i="11"/>
  <c r="M4" i="11"/>
  <c r="S6" i="11"/>
  <c r="T6" i="11"/>
  <c r="U6" i="11"/>
  <c r="V6" i="11"/>
  <c r="I6" i="11"/>
  <c r="S5" i="11"/>
  <c r="S4" i="11"/>
  <c r="V5" i="11"/>
  <c r="U5" i="11"/>
  <c r="T5" i="11"/>
  <c r="W5" i="11" s="1"/>
  <c r="V4" i="11"/>
  <c r="U4" i="11"/>
  <c r="T4" i="11"/>
  <c r="W4" i="11" s="1"/>
  <c r="J4" i="4"/>
  <c r="W4" i="4"/>
  <c r="X4" i="4"/>
  <c r="Y4" i="4"/>
  <c r="Z4" i="4"/>
  <c r="J19" i="4"/>
  <c r="Z19" i="4"/>
  <c r="W19" i="4"/>
  <c r="X19" i="4"/>
  <c r="Y19" i="4"/>
  <c r="A19" i="4"/>
  <c r="Z2" i="4"/>
  <c r="Z5" i="4"/>
  <c r="Z6" i="4"/>
  <c r="Z7" i="4"/>
  <c r="Z9" i="4"/>
  <c r="Z11" i="4"/>
  <c r="Z10" i="4"/>
  <c r="Z13" i="4"/>
  <c r="Z12" i="4"/>
  <c r="Z14" i="4"/>
  <c r="Z16" i="4"/>
  <c r="Z17" i="4"/>
  <c r="Z18" i="4"/>
  <c r="Z20" i="4"/>
  <c r="Z21" i="4"/>
  <c r="Z22" i="4"/>
  <c r="Z23" i="4"/>
  <c r="Z24" i="4"/>
  <c r="Z25" i="4"/>
  <c r="Z26" i="4"/>
  <c r="Z29" i="4"/>
  <c r="Z30" i="4"/>
  <c r="Z31" i="4"/>
  <c r="Z32" i="4"/>
  <c r="Z33" i="4"/>
  <c r="Z34" i="4"/>
  <c r="Z36" i="4"/>
  <c r="Z40" i="4"/>
  <c r="Z38" i="4"/>
  <c r="Z42" i="4"/>
  <c r="Z46" i="4"/>
  <c r="Z47" i="4"/>
  <c r="Z44" i="4"/>
  <c r="Z45" i="4"/>
  <c r="Z43" i="4"/>
  <c r="Z48" i="4"/>
  <c r="Z3" i="4"/>
  <c r="J18" i="4"/>
  <c r="W48" i="4"/>
  <c r="X48" i="4"/>
  <c r="Y48" i="4"/>
  <c r="AB48" i="4"/>
  <c r="J48" i="4"/>
  <c r="C96" i="6"/>
  <c r="C93" i="6"/>
  <c r="C86" i="6"/>
  <c r="C85" i="6"/>
  <c r="C82" i="6"/>
  <c r="C81" i="6"/>
  <c r="C80" i="6"/>
  <c r="C79" i="6"/>
  <c r="C78" i="6"/>
  <c r="C77" i="6"/>
  <c r="C92" i="6"/>
  <c r="C90" i="6"/>
  <c r="C73" i="6"/>
  <c r="C4" i="6"/>
  <c r="C5" i="6"/>
  <c r="C7" i="6"/>
  <c r="C8" i="6"/>
  <c r="C9" i="6"/>
  <c r="C10" i="6"/>
  <c r="C11" i="6"/>
  <c r="C12" i="6"/>
  <c r="C13" i="6"/>
  <c r="C15" i="6"/>
  <c r="C16" i="6"/>
  <c r="C18" i="6"/>
  <c r="C19" i="6"/>
  <c r="C23" i="6"/>
  <c r="C26" i="6"/>
  <c r="C27" i="6"/>
  <c r="C28" i="6"/>
  <c r="C30" i="6"/>
  <c r="C31" i="6"/>
  <c r="C32" i="6"/>
  <c r="C33" i="6"/>
  <c r="C34" i="6"/>
  <c r="C35" i="6"/>
  <c r="C36" i="6"/>
  <c r="C38" i="6"/>
  <c r="C39" i="6"/>
  <c r="C41" i="6"/>
  <c r="C42" i="6"/>
  <c r="C46" i="6"/>
  <c r="AB2" i="4"/>
  <c r="AB5" i="4"/>
  <c r="AB6" i="4"/>
  <c r="AB7" i="4"/>
  <c r="AB9" i="4"/>
  <c r="AB11" i="4"/>
  <c r="AB10" i="4"/>
  <c r="AB13" i="4"/>
  <c r="AB12" i="4"/>
  <c r="AB14" i="4"/>
  <c r="AB16" i="4"/>
  <c r="AB17" i="4"/>
  <c r="AB18" i="4"/>
  <c r="AB20" i="4"/>
  <c r="AB21" i="4"/>
  <c r="AB22" i="4"/>
  <c r="AB23" i="4"/>
  <c r="AB24" i="4"/>
  <c r="AB25" i="4"/>
  <c r="AB26" i="4"/>
  <c r="AB29" i="4"/>
  <c r="AB30" i="4"/>
  <c r="AB31" i="4"/>
  <c r="AB32" i="4"/>
  <c r="AB33" i="4"/>
  <c r="AB34" i="4"/>
  <c r="AB36" i="4"/>
  <c r="AB40" i="4"/>
  <c r="AB38" i="4"/>
  <c r="AB42" i="4"/>
  <c r="AB43" i="4"/>
  <c r="AB44" i="4"/>
  <c r="AB45" i="4"/>
  <c r="AB46" i="4"/>
  <c r="AB47" i="4"/>
  <c r="AB3" i="4"/>
  <c r="W46" i="4"/>
  <c r="X46" i="4"/>
  <c r="Y46" i="4"/>
  <c r="W47" i="4"/>
  <c r="X47" i="4"/>
  <c r="AA47" i="4" s="1"/>
  <c r="Y47" i="4"/>
  <c r="W44" i="4"/>
  <c r="X44" i="4"/>
  <c r="AA44" i="4" s="1"/>
  <c r="Y44" i="4"/>
  <c r="W45" i="4"/>
  <c r="X45" i="4"/>
  <c r="Y45" i="4"/>
  <c r="W43" i="4"/>
  <c r="X43" i="4"/>
  <c r="Y43" i="4"/>
  <c r="B2" i="4"/>
  <c r="B5" i="4"/>
  <c r="B6" i="4"/>
  <c r="B7" i="4"/>
  <c r="B9" i="4"/>
  <c r="B11" i="4"/>
  <c r="B10" i="4"/>
  <c r="B13" i="4"/>
  <c r="B12" i="4"/>
  <c r="B14" i="4"/>
  <c r="B16" i="4"/>
  <c r="B17" i="4"/>
  <c r="B18" i="4"/>
  <c r="B20" i="4"/>
  <c r="B21" i="4"/>
  <c r="B23" i="4"/>
  <c r="B24" i="4"/>
  <c r="B25" i="4"/>
  <c r="B26" i="4"/>
  <c r="B29" i="4"/>
  <c r="B31" i="4"/>
  <c r="B32" i="4"/>
  <c r="B33" i="4"/>
  <c r="B34" i="4"/>
  <c r="B36" i="4"/>
  <c r="B40" i="4"/>
  <c r="B38" i="4"/>
  <c r="B42" i="4"/>
  <c r="B46" i="4"/>
  <c r="B47" i="4"/>
  <c r="B44" i="4"/>
  <c r="B45" i="4"/>
  <c r="B43" i="4"/>
  <c r="B51" i="4"/>
  <c r="B49" i="4"/>
  <c r="B50" i="4"/>
  <c r="B53" i="4"/>
  <c r="B52" i="4"/>
  <c r="B65" i="4"/>
  <c r="B64" i="4"/>
  <c r="B73" i="4"/>
  <c r="B74" i="4"/>
  <c r="B75" i="4"/>
  <c r="B76" i="4"/>
  <c r="B77" i="4"/>
  <c r="B84" i="4"/>
  <c r="B81" i="4"/>
  <c r="B82" i="4"/>
  <c r="B80" i="4"/>
  <c r="B78" i="4"/>
  <c r="B86" i="4"/>
  <c r="B85" i="4"/>
  <c r="B98" i="4"/>
  <c r="B89" i="4"/>
  <c r="B95" i="4"/>
  <c r="B96" i="4"/>
  <c r="B97" i="4"/>
  <c r="B94" i="4"/>
  <c r="B100" i="4"/>
  <c r="B101" i="4"/>
  <c r="B102" i="4"/>
  <c r="B104" i="4"/>
  <c r="B106" i="4"/>
  <c r="B105" i="4"/>
  <c r="B107" i="4"/>
  <c r="B110" i="4"/>
  <c r="B111" i="4"/>
  <c r="B109" i="4"/>
  <c r="B113" i="4"/>
  <c r="B115" i="4"/>
  <c r="B116" i="4"/>
  <c r="B117" i="4"/>
  <c r="B118" i="4"/>
  <c r="B125" i="4"/>
  <c r="B126" i="4"/>
  <c r="B127" i="4"/>
  <c r="B135" i="4"/>
  <c r="B136" i="4"/>
  <c r="B128" i="4"/>
  <c r="B129" i="4"/>
  <c r="B137" i="4"/>
  <c r="B138" i="4"/>
  <c r="B142" i="4"/>
  <c r="B143" i="4"/>
  <c r="B144" i="4"/>
  <c r="B145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3" i="4"/>
  <c r="J26" i="8"/>
  <c r="J25" i="8"/>
  <c r="J24" i="8"/>
  <c r="J23" i="8"/>
  <c r="J22" i="8"/>
  <c r="J20" i="8"/>
  <c r="J19" i="8"/>
  <c r="J18" i="8"/>
  <c r="J17" i="8"/>
  <c r="J15" i="8"/>
  <c r="J14" i="8"/>
  <c r="J13" i="8"/>
  <c r="J12" i="8"/>
  <c r="J11" i="8"/>
  <c r="J10" i="8"/>
  <c r="J9" i="8"/>
  <c r="J8" i="8"/>
  <c r="J5" i="8"/>
  <c r="J6" i="8"/>
  <c r="J4" i="8"/>
  <c r="D27" i="8"/>
  <c r="G27" i="8"/>
  <c r="G21" i="8"/>
  <c r="G16" i="8"/>
  <c r="G7" i="8"/>
  <c r="G28" i="8" s="1"/>
  <c r="D21" i="8"/>
  <c r="D16" i="8"/>
  <c r="D7" i="8"/>
  <c r="D28" i="8" s="1"/>
  <c r="H6" i="8"/>
  <c r="E4" i="8"/>
  <c r="H4" i="8" s="1"/>
  <c r="F29" i="8"/>
  <c r="F32" i="8"/>
  <c r="F40" i="8"/>
  <c r="E29" i="8"/>
  <c r="E32" i="8"/>
  <c r="E40" i="8"/>
  <c r="F8" i="8"/>
  <c r="F17" i="8"/>
  <c r="F4" i="8"/>
  <c r="E8" i="8"/>
  <c r="E17" i="8"/>
  <c r="W40" i="4"/>
  <c r="X40" i="4"/>
  <c r="H40" i="9" s="1"/>
  <c r="Y40" i="4"/>
  <c r="W38" i="4"/>
  <c r="X38" i="4"/>
  <c r="AA38" i="4" s="1"/>
  <c r="Y38" i="4"/>
  <c r="W42" i="4"/>
  <c r="X42" i="4"/>
  <c r="H46" i="9" s="1"/>
  <c r="Y42" i="4"/>
  <c r="J30" i="4"/>
  <c r="W36" i="4"/>
  <c r="X36" i="4"/>
  <c r="Y36" i="4"/>
  <c r="W24" i="4"/>
  <c r="X24" i="4"/>
  <c r="Y24" i="4"/>
  <c r="W34" i="4"/>
  <c r="X34" i="4"/>
  <c r="AA34" i="4" s="1"/>
  <c r="Y34" i="4"/>
  <c r="R5" i="6"/>
  <c r="W33" i="4"/>
  <c r="X33" i="4"/>
  <c r="AA33" i="4" s="1"/>
  <c r="Y33" i="4"/>
  <c r="W31" i="4"/>
  <c r="X31" i="4"/>
  <c r="Y31" i="4"/>
  <c r="W32" i="4"/>
  <c r="X32" i="4"/>
  <c r="AA32" i="4" s="1"/>
  <c r="Y32" i="4"/>
  <c r="W30" i="4"/>
  <c r="X30" i="4"/>
  <c r="AA30" i="4" s="1"/>
  <c r="Y30" i="4"/>
  <c r="W23" i="4"/>
  <c r="X23" i="4"/>
  <c r="AA23" i="4" s="1"/>
  <c r="Y23" i="4"/>
  <c r="W25" i="4"/>
  <c r="X25" i="4"/>
  <c r="Y25" i="4"/>
  <c r="W26" i="4"/>
  <c r="X26" i="4"/>
  <c r="Y26" i="4"/>
  <c r="W29" i="4"/>
  <c r="X29" i="4"/>
  <c r="AA29" i="4" s="1"/>
  <c r="Y29" i="4"/>
  <c r="W22" i="4"/>
  <c r="X22" i="4"/>
  <c r="AA22" i="4" s="1"/>
  <c r="Y22" i="4"/>
  <c r="J22" i="4"/>
  <c r="R4" i="6"/>
  <c r="R3" i="6"/>
  <c r="W21" i="4"/>
  <c r="X21" i="4"/>
  <c r="Y21" i="4"/>
  <c r="W20" i="4"/>
  <c r="X20" i="4"/>
  <c r="AA20" i="4" s="1"/>
  <c r="G96" i="9" s="1"/>
  <c r="Y20" i="4"/>
  <c r="W18" i="4"/>
  <c r="X18" i="4"/>
  <c r="Y18" i="4"/>
  <c r="K11" i="4"/>
  <c r="W16" i="4"/>
  <c r="X16" i="4"/>
  <c r="AA16" i="4" s="1"/>
  <c r="Y16" i="4"/>
  <c r="W17" i="4"/>
  <c r="X17" i="4"/>
  <c r="AA17" i="4" s="1"/>
  <c r="Y17" i="4"/>
  <c r="W14" i="4"/>
  <c r="X14" i="4"/>
  <c r="Y14" i="4"/>
  <c r="W13" i="4"/>
  <c r="X13" i="4"/>
  <c r="Y13" i="4"/>
  <c r="W12" i="4"/>
  <c r="X12" i="4"/>
  <c r="Y12" i="4"/>
  <c r="W10" i="4"/>
  <c r="X10" i="4"/>
  <c r="AA10" i="4" s="1"/>
  <c r="Y10" i="4"/>
  <c r="W9" i="4"/>
  <c r="X9" i="4"/>
  <c r="Y9" i="4"/>
  <c r="W7" i="4"/>
  <c r="X7" i="4"/>
  <c r="Y7" i="4"/>
  <c r="W6" i="4"/>
  <c r="X6" i="4"/>
  <c r="Y6" i="4"/>
  <c r="W11" i="4"/>
  <c r="X11" i="4"/>
  <c r="Y11" i="4"/>
  <c r="J6" i="4"/>
  <c r="M6" i="4" s="1"/>
  <c r="Y3" i="4"/>
  <c r="Y2" i="4"/>
  <c r="Y5" i="4"/>
  <c r="X3" i="4"/>
  <c r="X2" i="4"/>
  <c r="X5" i="4"/>
  <c r="W3" i="4"/>
  <c r="W2" i="4"/>
  <c r="W5" i="4"/>
  <c r="A3" i="4"/>
  <c r="A2" i="4"/>
  <c r="A9" i="4"/>
  <c r="A7" i="4"/>
  <c r="A6" i="4"/>
  <c r="A11" i="4"/>
  <c r="A16" i="4"/>
  <c r="A17" i="4"/>
  <c r="A14" i="4"/>
  <c r="A13" i="4"/>
  <c r="A12" i="4"/>
  <c r="A10" i="4"/>
  <c r="A21" i="4"/>
  <c r="A20" i="4"/>
  <c r="A18" i="4"/>
  <c r="A22" i="4"/>
  <c r="A23" i="4"/>
  <c r="A25" i="4"/>
  <c r="A26" i="4"/>
  <c r="A29" i="4"/>
  <c r="A30" i="4"/>
  <c r="A33" i="4"/>
  <c r="A31" i="4"/>
  <c r="A32" i="4"/>
  <c r="A36" i="4"/>
  <c r="A24" i="4"/>
  <c r="A34" i="4"/>
  <c r="A40" i="4"/>
  <c r="A38" i="4"/>
  <c r="A42" i="4"/>
  <c r="A46" i="4"/>
  <c r="A47" i="4"/>
  <c r="A44" i="4"/>
  <c r="A45" i="4"/>
  <c r="A43" i="4"/>
  <c r="A48" i="4"/>
  <c r="A4" i="4"/>
  <c r="A51" i="4"/>
  <c r="A49" i="4"/>
  <c r="A50" i="4"/>
  <c r="A53" i="4"/>
  <c r="A52" i="4"/>
  <c r="A54" i="4"/>
  <c r="A60" i="4"/>
  <c r="A57" i="4"/>
  <c r="A59" i="4"/>
  <c r="A55" i="4"/>
  <c r="A56" i="4"/>
  <c r="A63" i="4"/>
  <c r="A65" i="4"/>
  <c r="A64" i="4"/>
  <c r="A70" i="4"/>
  <c r="A68" i="4"/>
  <c r="A67" i="4"/>
  <c r="A71" i="4"/>
  <c r="A66" i="4"/>
  <c r="A73" i="4"/>
  <c r="A74" i="4"/>
  <c r="A75" i="4"/>
  <c r="A76" i="4"/>
  <c r="A77" i="4"/>
  <c r="A84" i="4"/>
  <c r="A81" i="4"/>
  <c r="A82" i="4"/>
  <c r="A80" i="4"/>
  <c r="A78" i="4"/>
  <c r="A86" i="4"/>
  <c r="A85" i="4"/>
  <c r="A83" i="4"/>
  <c r="A87" i="4"/>
  <c r="A91" i="4"/>
  <c r="A90" i="4"/>
  <c r="A92" i="4"/>
  <c r="A88" i="4"/>
  <c r="A93" i="4"/>
  <c r="A98" i="4"/>
  <c r="A89" i="4"/>
  <c r="A95" i="4"/>
  <c r="A96" i="4"/>
  <c r="A97" i="4"/>
  <c r="A94" i="4"/>
  <c r="A99" i="4"/>
  <c r="A100" i="4"/>
  <c r="A101" i="4"/>
  <c r="A102" i="4"/>
  <c r="A103" i="4"/>
  <c r="A5" i="4"/>
  <c r="O151" i="4" l="1"/>
  <c r="M151" i="4"/>
  <c r="F109" i="6"/>
  <c r="F108" i="6"/>
  <c r="E108" i="6"/>
  <c r="F107" i="6"/>
  <c r="E107" i="6"/>
  <c r="AA134" i="4"/>
  <c r="F119" i="6"/>
  <c r="E119" i="6"/>
  <c r="E102" i="6"/>
  <c r="M4" i="4"/>
  <c r="G95" i="9"/>
  <c r="G94" i="9"/>
  <c r="I81" i="9"/>
  <c r="L81" i="9" s="1"/>
  <c r="F206" i="9" s="1"/>
  <c r="F81" i="9"/>
  <c r="M81" i="9" s="1"/>
  <c r="G206" i="9" s="1"/>
  <c r="J78" i="9"/>
  <c r="G77" i="9"/>
  <c r="O56" i="4"/>
  <c r="M56" i="4"/>
  <c r="O125" i="4"/>
  <c r="M125" i="4"/>
  <c r="I6" i="9"/>
  <c r="L6" i="9" s="1"/>
  <c r="H6" i="9"/>
  <c r="I39" i="9"/>
  <c r="L39" i="9" s="1"/>
  <c r="H39" i="9"/>
  <c r="G6" i="9"/>
  <c r="G39" i="9"/>
  <c r="F6" i="9"/>
  <c r="F39" i="9"/>
  <c r="O140" i="4"/>
  <c r="M140" i="4"/>
  <c r="M113" i="4"/>
  <c r="O113" i="4"/>
  <c r="M16" i="9"/>
  <c r="M49" i="9"/>
  <c r="H179" i="9" s="1"/>
  <c r="L128" i="9"/>
  <c r="O27" i="4"/>
  <c r="M27" i="4"/>
  <c r="O26" i="4"/>
  <c r="M26" i="4"/>
  <c r="O112" i="4"/>
  <c r="F101" i="6"/>
  <c r="E101" i="6"/>
  <c r="G101" i="6" s="1"/>
  <c r="F105" i="6"/>
  <c r="E105" i="6"/>
  <c r="G105" i="6" s="1"/>
  <c r="F99" i="6"/>
  <c r="E99" i="6"/>
  <c r="G99" i="6" s="1"/>
  <c r="F115" i="6"/>
  <c r="E115" i="6"/>
  <c r="G115" i="6" s="1"/>
  <c r="F106" i="6"/>
  <c r="E106" i="6"/>
  <c r="G106" i="6" s="1"/>
  <c r="F118" i="6"/>
  <c r="E118" i="6"/>
  <c r="G118" i="6" s="1"/>
  <c r="E72" i="6"/>
  <c r="E88" i="6"/>
  <c r="E98" i="6"/>
  <c r="F117" i="6"/>
  <c r="F113" i="6"/>
  <c r="F110" i="6"/>
  <c r="F102" i="6"/>
  <c r="F98" i="6"/>
  <c r="E110" i="6"/>
  <c r="G110" i="6" s="1"/>
  <c r="E117" i="6"/>
  <c r="G117" i="6" s="1"/>
  <c r="E113" i="6"/>
  <c r="E22" i="8"/>
  <c r="F114" i="6"/>
  <c r="E114" i="6"/>
  <c r="G114" i="6" s="1"/>
  <c r="F100" i="6"/>
  <c r="E100" i="6"/>
  <c r="G100" i="6" s="1"/>
  <c r="F104" i="6"/>
  <c r="E104" i="6"/>
  <c r="E109" i="6"/>
  <c r="G109" i="6" s="1"/>
  <c r="F112" i="6"/>
  <c r="E112" i="6"/>
  <c r="G112" i="6" s="1"/>
  <c r="F116" i="6"/>
  <c r="E116" i="6"/>
  <c r="G116" i="6" s="1"/>
  <c r="F111" i="6"/>
  <c r="E111" i="6"/>
  <c r="G111" i="6" s="1"/>
  <c r="G113" i="6"/>
  <c r="G98" i="6"/>
  <c r="O18" i="4"/>
  <c r="M18" i="4"/>
  <c r="O19" i="4"/>
  <c r="M19" i="4"/>
  <c r="O37" i="4"/>
  <c r="M37" i="4"/>
  <c r="O36" i="4"/>
  <c r="M36" i="4"/>
  <c r="O8" i="4"/>
  <c r="M8" i="4"/>
  <c r="O7" i="4"/>
  <c r="M7" i="4"/>
  <c r="O14" i="4"/>
  <c r="M14" i="4"/>
  <c r="O15" i="4"/>
  <c r="M15" i="4"/>
  <c r="O61" i="4"/>
  <c r="M61" i="4"/>
  <c r="O34" i="4"/>
  <c r="M34" i="4"/>
  <c r="O53" i="4"/>
  <c r="M53" i="4"/>
  <c r="O38" i="4"/>
  <c r="M38" i="4"/>
  <c r="O39" i="4"/>
  <c r="M39" i="4"/>
  <c r="O5" i="4"/>
  <c r="M5" i="4"/>
  <c r="O25" i="4"/>
  <c r="M25" i="4"/>
  <c r="O41" i="4"/>
  <c r="M41" i="4"/>
  <c r="O42" i="4"/>
  <c r="M42" i="4"/>
  <c r="O80" i="4"/>
  <c r="M80" i="4"/>
  <c r="O104" i="4"/>
  <c r="M104" i="4"/>
  <c r="K78" i="9"/>
  <c r="M128" i="9"/>
  <c r="M115" i="9"/>
  <c r="L115" i="9"/>
  <c r="J108" i="9"/>
  <c r="O21" i="4"/>
  <c r="J126" i="9"/>
  <c r="O6" i="4"/>
  <c r="J136" i="9"/>
  <c r="O4" i="4"/>
  <c r="F98" i="9"/>
  <c r="K128" i="9"/>
  <c r="F115" i="9"/>
  <c r="E91" i="6"/>
  <c r="G91" i="6" s="1"/>
  <c r="F91" i="6"/>
  <c r="E83" i="6"/>
  <c r="F83" i="6"/>
  <c r="F128" i="9"/>
  <c r="F120" i="9"/>
  <c r="G115" i="9"/>
  <c r="G128" i="9"/>
  <c r="H115" i="9"/>
  <c r="H128" i="9"/>
  <c r="K115" i="9"/>
  <c r="J128" i="9"/>
  <c r="I115" i="9"/>
  <c r="I128" i="9"/>
  <c r="K45" i="9"/>
  <c r="K51" i="9"/>
  <c r="J45" i="9"/>
  <c r="J51" i="9"/>
  <c r="F186" i="9"/>
  <c r="O117" i="9"/>
  <c r="I11" i="9"/>
  <c r="L11" i="9" s="1"/>
  <c r="F11" i="9"/>
  <c r="I44" i="9"/>
  <c r="L44" i="9" s="1"/>
  <c r="G166" i="9" s="1"/>
  <c r="I166" i="9" s="1"/>
  <c r="F44" i="9"/>
  <c r="G11" i="9"/>
  <c r="G44" i="9"/>
  <c r="K70" i="9"/>
  <c r="F53" i="6"/>
  <c r="E53" i="6"/>
  <c r="I41" i="9"/>
  <c r="F41" i="9"/>
  <c r="F8" i="9"/>
  <c r="F56" i="6"/>
  <c r="E56" i="6"/>
  <c r="G56" i="6" s="1"/>
  <c r="G59" i="9"/>
  <c r="G26" i="9"/>
  <c r="F49" i="6"/>
  <c r="E49" i="6"/>
  <c r="G49" i="6" s="1"/>
  <c r="G22" i="9"/>
  <c r="F68" i="6"/>
  <c r="E68" i="6"/>
  <c r="G68" i="6" s="1"/>
  <c r="I54" i="9"/>
  <c r="F54" i="9"/>
  <c r="F21" i="9"/>
  <c r="F67" i="6"/>
  <c r="E67" i="6"/>
  <c r="G67" i="6" s="1"/>
  <c r="H5" i="9"/>
  <c r="F54" i="6"/>
  <c r="E54" i="6"/>
  <c r="G54" i="6" s="1"/>
  <c r="G43" i="9"/>
  <c r="G10" i="9"/>
  <c r="F58" i="6"/>
  <c r="E58" i="6"/>
  <c r="G58" i="6" s="1"/>
  <c r="G40" i="9"/>
  <c r="G7" i="9"/>
  <c r="F55" i="6"/>
  <c r="E55" i="6"/>
  <c r="G55" i="6" s="1"/>
  <c r="G38" i="9"/>
  <c r="G5" i="9"/>
  <c r="F47" i="9"/>
  <c r="F14" i="9"/>
  <c r="I47" i="9"/>
  <c r="L47" i="9" s="1"/>
  <c r="G173" i="9" s="1"/>
  <c r="I173" i="9" s="1"/>
  <c r="I14" i="9"/>
  <c r="L14" i="9" s="1"/>
  <c r="F151" i="9" s="1"/>
  <c r="F61" i="6"/>
  <c r="E61" i="6"/>
  <c r="G61" i="6" s="1"/>
  <c r="AA48" i="4"/>
  <c r="E70" i="6"/>
  <c r="AA37" i="4"/>
  <c r="G14" i="9"/>
  <c r="G47" i="9"/>
  <c r="F40" i="9"/>
  <c r="F7" i="9"/>
  <c r="AA71" i="4"/>
  <c r="F82" i="9" s="1"/>
  <c r="F50" i="9"/>
  <c r="F17" i="9"/>
  <c r="F63" i="6"/>
  <c r="E63" i="6"/>
  <c r="F48" i="9"/>
  <c r="F15" i="9"/>
  <c r="F62" i="6"/>
  <c r="E62" i="6"/>
  <c r="G62" i="6" s="1"/>
  <c r="F42" i="9"/>
  <c r="F9" i="9"/>
  <c r="F57" i="6"/>
  <c r="E57" i="6"/>
  <c r="G57" i="6" s="1"/>
  <c r="F74" i="6"/>
  <c r="F60" i="9"/>
  <c r="F27" i="9"/>
  <c r="F50" i="6"/>
  <c r="E50" i="6"/>
  <c r="G50" i="6" s="1"/>
  <c r="F59" i="6"/>
  <c r="E59" i="6"/>
  <c r="G59" i="6" s="1"/>
  <c r="G48" i="9"/>
  <c r="G15" i="9"/>
  <c r="G19" i="9"/>
  <c r="F65" i="6"/>
  <c r="E65" i="6"/>
  <c r="G65" i="6" s="1"/>
  <c r="F53" i="9"/>
  <c r="M53" i="9" s="1"/>
  <c r="H169" i="9" s="1"/>
  <c r="F20" i="9"/>
  <c r="F66" i="6"/>
  <c r="E66" i="6"/>
  <c r="G66" i="6" s="1"/>
  <c r="F38" i="9"/>
  <c r="F5" i="9"/>
  <c r="G42" i="9"/>
  <c r="G9" i="9"/>
  <c r="G41" i="9"/>
  <c r="G8" i="9"/>
  <c r="J117" i="9"/>
  <c r="N117" i="9" s="1"/>
  <c r="G54" i="9"/>
  <c r="G21" i="9"/>
  <c r="F43" i="9"/>
  <c r="F10" i="9"/>
  <c r="F52" i="6"/>
  <c r="F48" i="6"/>
  <c r="AA66" i="4"/>
  <c r="H14" i="9"/>
  <c r="H47" i="9"/>
  <c r="H45" i="9" s="1"/>
  <c r="F57" i="9"/>
  <c r="M57" i="9" s="1"/>
  <c r="H184" i="9" s="1"/>
  <c r="F24" i="9"/>
  <c r="E94" i="6"/>
  <c r="G94" i="6" s="1"/>
  <c r="F94" i="6"/>
  <c r="F52" i="9"/>
  <c r="F19" i="9"/>
  <c r="AA82" i="4"/>
  <c r="F89" i="9" s="1"/>
  <c r="F56" i="9"/>
  <c r="F23" i="9"/>
  <c r="F61" i="9"/>
  <c r="M61" i="9" s="1"/>
  <c r="H175" i="9" s="1"/>
  <c r="F28" i="9"/>
  <c r="M28" i="9" s="1"/>
  <c r="E75" i="6"/>
  <c r="G75" i="6" s="1"/>
  <c r="F51" i="6"/>
  <c r="E51" i="6"/>
  <c r="G51" i="6" s="1"/>
  <c r="H58" i="9"/>
  <c r="F55" i="9"/>
  <c r="F22" i="9"/>
  <c r="E64" i="6"/>
  <c r="G64" i="6" s="1"/>
  <c r="G20" i="9"/>
  <c r="G24" i="9"/>
  <c r="F64" i="6"/>
  <c r="O123" i="9"/>
  <c r="G242" i="9" s="1"/>
  <c r="E48" i="6"/>
  <c r="G48" i="6" s="1"/>
  <c r="E52" i="6"/>
  <c r="G52" i="6" s="1"/>
  <c r="E60" i="6"/>
  <c r="G60" i="6" s="1"/>
  <c r="F60" i="6"/>
  <c r="F29" i="9"/>
  <c r="AA80" i="4"/>
  <c r="F85" i="9" s="1"/>
  <c r="AA84" i="4"/>
  <c r="F95" i="9" s="1"/>
  <c r="M95" i="9" s="1"/>
  <c r="G203" i="9" s="1"/>
  <c r="AA78" i="4"/>
  <c r="I55" i="9"/>
  <c r="L55" i="9" s="1"/>
  <c r="G176" i="9" s="1"/>
  <c r="I176" i="9" s="1"/>
  <c r="G55" i="9"/>
  <c r="I22" i="9"/>
  <c r="L22" i="9" s="1"/>
  <c r="F156" i="9" s="1"/>
  <c r="I48" i="9"/>
  <c r="AA79" i="4"/>
  <c r="F91" i="9" s="1"/>
  <c r="M91" i="9" s="1"/>
  <c r="G199" i="9" s="1"/>
  <c r="H56" i="9"/>
  <c r="H55" i="9"/>
  <c r="H22" i="9"/>
  <c r="I50" i="9"/>
  <c r="L50" i="9" s="1"/>
  <c r="G170" i="9" s="1"/>
  <c r="I170" i="9" s="1"/>
  <c r="J37" i="9"/>
  <c r="H134" i="9"/>
  <c r="I120" i="9"/>
  <c r="M50" i="9"/>
  <c r="H170" i="9" s="1"/>
  <c r="H120" i="9"/>
  <c r="I107" i="9"/>
  <c r="H25" i="9"/>
  <c r="N126" i="9"/>
  <c r="F224" i="9" s="1"/>
  <c r="H107" i="9"/>
  <c r="J18" i="9"/>
  <c r="K18" i="9"/>
  <c r="K12" i="9" s="1"/>
  <c r="J4" i="9"/>
  <c r="J12" i="9"/>
  <c r="K4" i="9"/>
  <c r="O124" i="9"/>
  <c r="G226" i="9" s="1"/>
  <c r="I94" i="9"/>
  <c r="L94" i="9" s="1"/>
  <c r="F201" i="9" s="1"/>
  <c r="H13" i="9"/>
  <c r="I5" i="9"/>
  <c r="L5" i="9" s="1"/>
  <c r="F145" i="9" s="1"/>
  <c r="I9" i="9"/>
  <c r="I13" i="9"/>
  <c r="I24" i="9"/>
  <c r="L24" i="9" s="1"/>
  <c r="I21" i="9"/>
  <c r="I27" i="9"/>
  <c r="L27" i="9" s="1"/>
  <c r="I38" i="9"/>
  <c r="I42" i="9"/>
  <c r="I46" i="9"/>
  <c r="I52" i="9"/>
  <c r="I56" i="9"/>
  <c r="L56" i="9" s="1"/>
  <c r="G177" i="9" s="1"/>
  <c r="I177" i="9" s="1"/>
  <c r="I61" i="9"/>
  <c r="L61" i="9" s="1"/>
  <c r="I99" i="9"/>
  <c r="F75" i="6"/>
  <c r="H7" i="9"/>
  <c r="H23" i="9"/>
  <c r="I7" i="9"/>
  <c r="L7" i="9" s="1"/>
  <c r="F146" i="9" s="1"/>
  <c r="I10" i="9"/>
  <c r="L10" i="9" s="1"/>
  <c r="F149" i="9" s="1"/>
  <c r="I15" i="9"/>
  <c r="L15" i="9" s="1"/>
  <c r="F152" i="9" s="1"/>
  <c r="I19" i="9"/>
  <c r="I23" i="9"/>
  <c r="L23" i="9" s="1"/>
  <c r="I28" i="9"/>
  <c r="L28" i="9" s="1"/>
  <c r="G46" i="9"/>
  <c r="G52" i="9"/>
  <c r="G56" i="9"/>
  <c r="H38" i="9"/>
  <c r="H37" i="9" s="1"/>
  <c r="I40" i="9"/>
  <c r="L40" i="9" s="1"/>
  <c r="G185" i="9" s="1"/>
  <c r="I43" i="9"/>
  <c r="L43" i="9" s="1"/>
  <c r="G167" i="9" s="1"/>
  <c r="I167" i="9" s="1"/>
  <c r="I53" i="9"/>
  <c r="I59" i="9"/>
  <c r="I63" i="9"/>
  <c r="L63" i="9" s="1"/>
  <c r="G171" i="9" s="1"/>
  <c r="I171" i="9" s="1"/>
  <c r="M99" i="9"/>
  <c r="G210" i="9" s="1"/>
  <c r="I100" i="9"/>
  <c r="L100" i="9" s="1"/>
  <c r="F195" i="9" s="1"/>
  <c r="H29" i="9"/>
  <c r="I8" i="9"/>
  <c r="F150" i="9"/>
  <c r="I17" i="9"/>
  <c r="L17" i="9" s="1"/>
  <c r="I20" i="9"/>
  <c r="L20" i="9" s="1"/>
  <c r="F154" i="9" s="1"/>
  <c r="I26" i="9"/>
  <c r="I30" i="9"/>
  <c r="I29" i="9" s="1"/>
  <c r="M60" i="9"/>
  <c r="H183" i="9" s="1"/>
  <c r="M63" i="9"/>
  <c r="H171" i="9" s="1"/>
  <c r="I57" i="9"/>
  <c r="L57" i="9" s="1"/>
  <c r="G184" i="9" s="1"/>
  <c r="I60" i="9"/>
  <c r="L60" i="9" s="1"/>
  <c r="F94" i="9"/>
  <c r="M94" i="9" s="1"/>
  <c r="G201" i="9" s="1"/>
  <c r="H100" i="9"/>
  <c r="M100" i="9" s="1"/>
  <c r="G195" i="9" s="1"/>
  <c r="L107" i="9"/>
  <c r="N130" i="9"/>
  <c r="F231" i="9" s="1"/>
  <c r="N119" i="9"/>
  <c r="F241" i="9" s="1"/>
  <c r="N131" i="9"/>
  <c r="F232" i="9" s="1"/>
  <c r="N124" i="9"/>
  <c r="F226" i="9" s="1"/>
  <c r="W6" i="11"/>
  <c r="J92" i="9"/>
  <c r="O131" i="9"/>
  <c r="G232" i="9" s="1"/>
  <c r="O119" i="9"/>
  <c r="AA21" i="4"/>
  <c r="F77" i="9" s="1"/>
  <c r="F31" i="6"/>
  <c r="F8" i="6"/>
  <c r="AA25" i="4"/>
  <c r="F28" i="6"/>
  <c r="AA31" i="4"/>
  <c r="F82" i="6"/>
  <c r="F36" i="6"/>
  <c r="F13" i="6"/>
  <c r="AA2" i="4"/>
  <c r="F27" i="6"/>
  <c r="F5" i="6"/>
  <c r="AA3" i="4"/>
  <c r="F79" i="6"/>
  <c r="F33" i="6"/>
  <c r="F10" i="6"/>
  <c r="F73" i="6"/>
  <c r="F26" i="6"/>
  <c r="F4" i="6"/>
  <c r="AA6" i="4"/>
  <c r="F93" i="6"/>
  <c r="F41" i="6"/>
  <c r="F18" i="6"/>
  <c r="AA7" i="4"/>
  <c r="F92" i="6"/>
  <c r="F44" i="6"/>
  <c r="F21" i="6"/>
  <c r="E44" i="6"/>
  <c r="G44" i="6" s="1"/>
  <c r="E21" i="6"/>
  <c r="G21" i="6" s="1"/>
  <c r="AA9" i="4"/>
  <c r="F77" i="6"/>
  <c r="F30" i="6"/>
  <c r="F7" i="6"/>
  <c r="AA12" i="4"/>
  <c r="F81" i="6"/>
  <c r="F35" i="6"/>
  <c r="F12" i="6"/>
  <c r="AA13" i="4"/>
  <c r="F78" i="6"/>
  <c r="F32" i="6"/>
  <c r="F9" i="6"/>
  <c r="AA14" i="4"/>
  <c r="F42" i="6"/>
  <c r="F19" i="6"/>
  <c r="AA36" i="4"/>
  <c r="F85" i="6"/>
  <c r="F38" i="6"/>
  <c r="F15" i="6"/>
  <c r="AA5" i="4"/>
  <c r="F86" i="6"/>
  <c r="F39" i="6"/>
  <c r="F16" i="6"/>
  <c r="AA18" i="4"/>
  <c r="F80" i="6"/>
  <c r="F34" i="6"/>
  <c r="F11" i="6"/>
  <c r="AA43" i="4"/>
  <c r="F90" i="6"/>
  <c r="F43" i="6"/>
  <c r="F20" i="6"/>
  <c r="E43" i="6"/>
  <c r="G43" i="6" s="1"/>
  <c r="E20" i="6"/>
  <c r="G20" i="6" s="1"/>
  <c r="AA61" i="4"/>
  <c r="F89" i="6"/>
  <c r="J98" i="9"/>
  <c r="G72" i="6"/>
  <c r="E84" i="6"/>
  <c r="G84" i="6" s="1"/>
  <c r="F88" i="6"/>
  <c r="G88" i="6"/>
  <c r="F84" i="6"/>
  <c r="F76" i="6"/>
  <c r="E76" i="6"/>
  <c r="G76" i="6" s="1"/>
  <c r="F72" i="6"/>
  <c r="F40" i="6"/>
  <c r="E40" i="6"/>
  <c r="G40" i="6" s="1"/>
  <c r="F37" i="6"/>
  <c r="E37" i="6"/>
  <c r="G37" i="6" s="1"/>
  <c r="F29" i="6"/>
  <c r="E29" i="6"/>
  <c r="G29" i="6" s="1"/>
  <c r="F25" i="6"/>
  <c r="F17" i="6"/>
  <c r="F14" i="6"/>
  <c r="F6" i="6"/>
  <c r="E3" i="6"/>
  <c r="G3" i="6" s="1"/>
  <c r="E17" i="6"/>
  <c r="G17" i="6" s="1"/>
  <c r="F3" i="6"/>
  <c r="E14" i="6"/>
  <c r="G14" i="6" s="1"/>
  <c r="E6" i="6"/>
  <c r="G6" i="6" s="1"/>
  <c r="E25" i="6"/>
  <c r="E87" i="6"/>
  <c r="F87" i="6"/>
  <c r="R10" i="6"/>
  <c r="AA11" i="4"/>
  <c r="E74" i="6"/>
  <c r="G74" i="6" s="1"/>
  <c r="O130" i="9"/>
  <c r="G231" i="9" s="1"/>
  <c r="M17" i="9"/>
  <c r="F22" i="8"/>
  <c r="E44" i="8"/>
  <c r="F44" i="8"/>
  <c r="J116" i="9"/>
  <c r="J115" i="9" s="1"/>
  <c r="M27" i="9"/>
  <c r="N129" i="9"/>
  <c r="AA46" i="4"/>
  <c r="J135" i="9"/>
  <c r="N135" i="9" s="1"/>
  <c r="F238" i="9" s="1"/>
  <c r="AA57" i="4"/>
  <c r="G80" i="9" s="1"/>
  <c r="AA45" i="4"/>
  <c r="F71" i="9" s="1"/>
  <c r="AA19" i="4"/>
  <c r="G74" i="9" s="1"/>
  <c r="AA4" i="4"/>
  <c r="AA50" i="4"/>
  <c r="F75" i="9" s="1"/>
  <c r="AA42" i="4"/>
  <c r="G79" i="9" s="1"/>
  <c r="AA24" i="4"/>
  <c r="G71" i="9" s="1"/>
  <c r="K120" i="9"/>
  <c r="AA55" i="4"/>
  <c r="AA40" i="4"/>
  <c r="AA26" i="4"/>
  <c r="AA8" i="4"/>
  <c r="E86" i="6"/>
  <c r="G86" i="6" s="1"/>
  <c r="E79" i="6"/>
  <c r="G79" i="6" s="1"/>
  <c r="E73" i="6"/>
  <c r="G73" i="6" s="1"/>
  <c r="E93" i="6"/>
  <c r="G93" i="6" s="1"/>
  <c r="E92" i="6"/>
  <c r="G92" i="6" s="1"/>
  <c r="E77" i="6"/>
  <c r="G77" i="6" s="1"/>
  <c r="E81" i="6"/>
  <c r="G81" i="6" s="1"/>
  <c r="E78" i="6"/>
  <c r="G78" i="6" s="1"/>
  <c r="E80" i="6"/>
  <c r="G80" i="6" s="1"/>
  <c r="E82" i="6"/>
  <c r="G82" i="6" s="1"/>
  <c r="E85" i="6"/>
  <c r="G85" i="6" s="1"/>
  <c r="E47" i="8"/>
  <c r="E90" i="6"/>
  <c r="E96" i="6"/>
  <c r="E89" i="6"/>
  <c r="G89" i="6" s="1"/>
  <c r="F134" i="9"/>
  <c r="L134" i="9"/>
  <c r="G120" i="9"/>
  <c r="G134" i="9"/>
  <c r="M134" i="9"/>
  <c r="K134" i="9"/>
  <c r="O121" i="9"/>
  <c r="K107" i="9"/>
  <c r="O132" i="9"/>
  <c r="G234" i="9" s="1"/>
  <c r="G107" i="9"/>
  <c r="O136" i="9"/>
  <c r="G239" i="9" s="1"/>
  <c r="N125" i="9"/>
  <c r="F227" i="9" s="1"/>
  <c r="M111" i="9"/>
  <c r="M107" i="9" s="1"/>
  <c r="M121" i="9"/>
  <c r="L120" i="9"/>
  <c r="N133" i="9"/>
  <c r="F243" i="9" s="1"/>
  <c r="N136" i="9"/>
  <c r="F239" i="9" s="1"/>
  <c r="O114" i="9"/>
  <c r="G228" i="9" s="1"/>
  <c r="O116" i="9"/>
  <c r="G236" i="9" s="1"/>
  <c r="O118" i="9"/>
  <c r="N118" i="9"/>
  <c r="F235" i="9" s="1"/>
  <c r="O122" i="9"/>
  <c r="O126" i="9"/>
  <c r="G224" i="9" s="1"/>
  <c r="O127" i="9"/>
  <c r="G240" i="9" s="1"/>
  <c r="O129" i="9"/>
  <c r="O135" i="9"/>
  <c r="G238" i="9" s="1"/>
  <c r="O113" i="9"/>
  <c r="G230" i="9" s="1"/>
  <c r="O125" i="9"/>
  <c r="O133" i="9"/>
  <c r="G243" i="9" s="1"/>
  <c r="N108" i="9"/>
  <c r="F237" i="9" s="1"/>
  <c r="O109" i="9"/>
  <c r="J112" i="9"/>
  <c r="N112" i="9" s="1"/>
  <c r="F223" i="9" s="1"/>
  <c r="J111" i="9"/>
  <c r="J122" i="9"/>
  <c r="N122" i="9" s="1"/>
  <c r="J127" i="9"/>
  <c r="N127" i="9" s="1"/>
  <c r="F240" i="9" s="1"/>
  <c r="J121" i="9"/>
  <c r="O108" i="9"/>
  <c r="O111" i="9"/>
  <c r="G222" i="9" s="1"/>
  <c r="O112" i="9"/>
  <c r="G223" i="9" s="1"/>
  <c r="O110" i="9"/>
  <c r="F107" i="9"/>
  <c r="G98" i="9"/>
  <c r="E25" i="8"/>
  <c r="H25" i="8" s="1"/>
  <c r="L48" i="9"/>
  <c r="G58" i="9"/>
  <c r="L54" i="9"/>
  <c r="G181" i="9" s="1"/>
  <c r="F47" i="8"/>
  <c r="F25" i="8"/>
  <c r="E16" i="6"/>
  <c r="G16" i="6" s="1"/>
  <c r="E39" i="6"/>
  <c r="G39" i="6" s="1"/>
  <c r="E5" i="6"/>
  <c r="G5" i="6" s="1"/>
  <c r="E27" i="6"/>
  <c r="G27" i="6" s="1"/>
  <c r="E10" i="6"/>
  <c r="G10" i="6" s="1"/>
  <c r="E33" i="6"/>
  <c r="G33" i="6" s="1"/>
  <c r="E4" i="6"/>
  <c r="G4" i="6" s="1"/>
  <c r="E26" i="6"/>
  <c r="G26" i="6" s="1"/>
  <c r="E41" i="6"/>
  <c r="G41" i="6" s="1"/>
  <c r="E18" i="6"/>
  <c r="G18" i="6" s="1"/>
  <c r="E7" i="6"/>
  <c r="G7" i="6" s="1"/>
  <c r="E30" i="6"/>
  <c r="G30" i="6" s="1"/>
  <c r="E12" i="6"/>
  <c r="G12" i="6" s="1"/>
  <c r="E35" i="6"/>
  <c r="G35" i="6" s="1"/>
  <c r="E9" i="6"/>
  <c r="G9" i="6" s="1"/>
  <c r="E32" i="6"/>
  <c r="G32" i="6" s="1"/>
  <c r="E42" i="6"/>
  <c r="G42" i="6" s="1"/>
  <c r="E19" i="6"/>
  <c r="G19" i="6" s="1"/>
  <c r="E11" i="6"/>
  <c r="G11" i="6" s="1"/>
  <c r="E34" i="6"/>
  <c r="G34" i="6" s="1"/>
  <c r="E9" i="8"/>
  <c r="H9" i="8" s="1"/>
  <c r="E8" i="6"/>
  <c r="G8" i="6" s="1"/>
  <c r="E31" i="6"/>
  <c r="G31" i="6" s="1"/>
  <c r="F9" i="8"/>
  <c r="E46" i="6"/>
  <c r="E23" i="6"/>
  <c r="E28" i="6"/>
  <c r="G28" i="6" s="1"/>
  <c r="E13" i="6"/>
  <c r="G13" i="6" s="1"/>
  <c r="E36" i="6"/>
  <c r="G36" i="6" s="1"/>
  <c r="E15" i="6"/>
  <c r="G15" i="6" s="1"/>
  <c r="E38" i="6"/>
  <c r="G38" i="6" s="1"/>
  <c r="F42" i="8"/>
  <c r="E42" i="8"/>
  <c r="F19" i="8"/>
  <c r="E19" i="8"/>
  <c r="H19" i="8" s="1"/>
  <c r="F30" i="8"/>
  <c r="E30" i="8"/>
  <c r="F5" i="8"/>
  <c r="F7" i="8" s="1"/>
  <c r="E5" i="8"/>
  <c r="H5" i="8" s="1"/>
  <c r="F36" i="8"/>
  <c r="E36" i="8"/>
  <c r="F12" i="8"/>
  <c r="E12" i="8"/>
  <c r="H12" i="8" s="1"/>
  <c r="F45" i="8"/>
  <c r="E45" i="8"/>
  <c r="F23" i="8"/>
  <c r="E23" i="8"/>
  <c r="H23" i="8" s="1"/>
  <c r="F48" i="8"/>
  <c r="E48" i="8"/>
  <c r="F26" i="8"/>
  <c r="E26" i="8"/>
  <c r="H26" i="8" s="1"/>
  <c r="F34" i="8"/>
  <c r="E34" i="8"/>
  <c r="F10" i="8"/>
  <c r="E10" i="8"/>
  <c r="H10" i="8" s="1"/>
  <c r="F38" i="8"/>
  <c r="E38" i="8"/>
  <c r="F14" i="8"/>
  <c r="E14" i="8"/>
  <c r="H14" i="8" s="1"/>
  <c r="F35" i="8"/>
  <c r="E35" i="8"/>
  <c r="F11" i="8"/>
  <c r="E11" i="8"/>
  <c r="H11" i="8" s="1"/>
  <c r="F46" i="8"/>
  <c r="E46" i="8"/>
  <c r="F24" i="8"/>
  <c r="E24" i="8"/>
  <c r="H24" i="8" s="1"/>
  <c r="F37" i="8"/>
  <c r="E37" i="8"/>
  <c r="F13" i="8"/>
  <c r="E13" i="8"/>
  <c r="H13" i="8" s="1"/>
  <c r="F33" i="8"/>
  <c r="E33" i="8"/>
  <c r="F31" i="8"/>
  <c r="E31" i="8"/>
  <c r="F39" i="8"/>
  <c r="E39" i="8"/>
  <c r="F15" i="8"/>
  <c r="E15" i="8"/>
  <c r="H15" i="8" s="1"/>
  <c r="F41" i="8"/>
  <c r="E41" i="8"/>
  <c r="F18" i="8"/>
  <c r="E18" i="8"/>
  <c r="H18" i="8" s="1"/>
  <c r="F43" i="8"/>
  <c r="E43" i="8"/>
  <c r="F20" i="8"/>
  <c r="E20" i="8"/>
  <c r="D102" i="6" l="1"/>
  <c r="G102" i="6" s="1"/>
  <c r="M10" i="9"/>
  <c r="G149" i="9" s="1"/>
  <c r="M39" i="9"/>
  <c r="H172" i="9" s="1"/>
  <c r="M6" i="9"/>
  <c r="F74" i="9"/>
  <c r="M74" i="9" s="1"/>
  <c r="I74" i="9"/>
  <c r="L74" i="9" s="1"/>
  <c r="F190" i="9" s="1"/>
  <c r="M77" i="9"/>
  <c r="G209" i="9" s="1"/>
  <c r="M82" i="9"/>
  <c r="G214" i="9" s="1"/>
  <c r="I58" i="9"/>
  <c r="I45" i="9"/>
  <c r="I51" i="9"/>
  <c r="I37" i="9"/>
  <c r="F88" i="9"/>
  <c r="M5" i="9"/>
  <c r="G145" i="9" s="1"/>
  <c r="M89" i="9"/>
  <c r="G213" i="9" s="1"/>
  <c r="G45" i="9"/>
  <c r="M7" i="9"/>
  <c r="G146" i="9" s="1"/>
  <c r="I89" i="9"/>
  <c r="L89" i="9" s="1"/>
  <c r="F213" i="9" s="1"/>
  <c r="I82" i="9"/>
  <c r="L82" i="9" s="1"/>
  <c r="F214" i="9" s="1"/>
  <c r="G219" i="9"/>
  <c r="O128" i="9"/>
  <c r="G221" i="9"/>
  <c r="O115" i="9"/>
  <c r="G220" i="9"/>
  <c r="O120" i="9"/>
  <c r="F219" i="9"/>
  <c r="N128" i="9"/>
  <c r="F45" i="9"/>
  <c r="H51" i="9"/>
  <c r="H64" i="9" s="1"/>
  <c r="F58" i="9"/>
  <c r="F51" i="9"/>
  <c r="G51" i="9"/>
  <c r="L52" i="9"/>
  <c r="F37" i="9"/>
  <c r="M44" i="9"/>
  <c r="H166" i="9" s="1"/>
  <c r="G183" i="9"/>
  <c r="I183" i="9" s="1"/>
  <c r="G175" i="9"/>
  <c r="I175" i="9" s="1"/>
  <c r="M11" i="9"/>
  <c r="F92" i="9"/>
  <c r="M22" i="9"/>
  <c r="G156" i="9" s="1"/>
  <c r="M24" i="9"/>
  <c r="I91" i="9"/>
  <c r="L91" i="9" s="1"/>
  <c r="F199" i="9" s="1"/>
  <c r="I95" i="9"/>
  <c r="L95" i="9" s="1"/>
  <c r="M14" i="9"/>
  <c r="G151" i="9" s="1"/>
  <c r="G83" i="9"/>
  <c r="G78" i="9" s="1"/>
  <c r="F79" i="9"/>
  <c r="F83" i="9"/>
  <c r="I83" i="9"/>
  <c r="L83" i="9" s="1"/>
  <c r="F208" i="9" s="1"/>
  <c r="H79" i="9"/>
  <c r="H83" i="9"/>
  <c r="M47" i="9"/>
  <c r="H173" i="9" s="1"/>
  <c r="G70" i="6"/>
  <c r="E69" i="6"/>
  <c r="G69" i="6" s="1"/>
  <c r="H18" i="9"/>
  <c r="H12" i="9" s="1"/>
  <c r="M55" i="9"/>
  <c r="H176" i="9" s="1"/>
  <c r="F80" i="9"/>
  <c r="M80" i="9" s="1"/>
  <c r="G191" i="9" s="1"/>
  <c r="F90" i="9"/>
  <c r="M90" i="9" s="1"/>
  <c r="G196" i="9" s="1"/>
  <c r="I90" i="9"/>
  <c r="L90" i="9" s="1"/>
  <c r="F196" i="9" s="1"/>
  <c r="G227" i="9"/>
  <c r="G235" i="9"/>
  <c r="G225" i="9"/>
  <c r="F225" i="9"/>
  <c r="G241" i="9"/>
  <c r="G237" i="9"/>
  <c r="F229" i="9"/>
  <c r="F233" i="9"/>
  <c r="G229" i="9"/>
  <c r="G233" i="9"/>
  <c r="I195" i="9"/>
  <c r="H137" i="9"/>
  <c r="I184" i="9"/>
  <c r="M30" i="9"/>
  <c r="I4" i="9"/>
  <c r="J134" i="9"/>
  <c r="J107" i="9"/>
  <c r="F72" i="9"/>
  <c r="G73" i="9"/>
  <c r="I85" i="9"/>
  <c r="G85" i="9"/>
  <c r="M85" i="9" s="1"/>
  <c r="G198" i="9" s="1"/>
  <c r="I86" i="9"/>
  <c r="L86" i="9" s="1"/>
  <c r="F204" i="9" s="1"/>
  <c r="F86" i="9"/>
  <c r="M86" i="9" s="1"/>
  <c r="G204" i="9" s="1"/>
  <c r="I79" i="9"/>
  <c r="I71" i="9"/>
  <c r="H71" i="9"/>
  <c r="I87" i="9"/>
  <c r="L87" i="9" s="1"/>
  <c r="F205" i="9" s="1"/>
  <c r="F87" i="9"/>
  <c r="I76" i="9"/>
  <c r="L76" i="9" s="1"/>
  <c r="F202" i="9" s="1"/>
  <c r="F76" i="9"/>
  <c r="G190" i="9"/>
  <c r="I72" i="9"/>
  <c r="L72" i="9" s="1"/>
  <c r="F192" i="9" s="1"/>
  <c r="G72" i="9"/>
  <c r="I88" i="9"/>
  <c r="L88" i="9" s="1"/>
  <c r="F212" i="9" s="1"/>
  <c r="G88" i="9"/>
  <c r="M88" i="9" s="1"/>
  <c r="G212" i="9" s="1"/>
  <c r="I77" i="9"/>
  <c r="L77" i="9" s="1"/>
  <c r="F209" i="9" s="1"/>
  <c r="H98" i="9"/>
  <c r="I93" i="9"/>
  <c r="G93" i="9"/>
  <c r="G87" i="9"/>
  <c r="I80" i="9"/>
  <c r="L80" i="9" s="1"/>
  <c r="I75" i="9"/>
  <c r="L75" i="9" s="1"/>
  <c r="F211" i="9" s="1"/>
  <c r="G75" i="9"/>
  <c r="J70" i="9"/>
  <c r="F73" i="9"/>
  <c r="I73" i="9"/>
  <c r="L73" i="9" s="1"/>
  <c r="F200" i="9" s="1"/>
  <c r="I96" i="9"/>
  <c r="L96" i="9" s="1"/>
  <c r="H96" i="9"/>
  <c r="M96" i="9" s="1"/>
  <c r="G193" i="9" s="1"/>
  <c r="I97" i="9"/>
  <c r="L97" i="9" s="1"/>
  <c r="F194" i="9" s="1"/>
  <c r="F97" i="9"/>
  <c r="M97" i="9" s="1"/>
  <c r="G194" i="9" s="1"/>
  <c r="I18" i="9"/>
  <c r="I12" i="9" s="1"/>
  <c r="N116" i="9"/>
  <c r="F236" i="9" s="1"/>
  <c r="M23" i="9"/>
  <c r="I25" i="9"/>
  <c r="H84" i="9"/>
  <c r="G37" i="9"/>
  <c r="M52" i="9"/>
  <c r="H165" i="9" s="1"/>
  <c r="L42" i="9"/>
  <c r="G178" i="9" s="1"/>
  <c r="I178" i="9" s="1"/>
  <c r="E22" i="6"/>
  <c r="G22" i="6" s="1"/>
  <c r="G23" i="6"/>
  <c r="L21" i="9"/>
  <c r="F155" i="9" s="1"/>
  <c r="I201" i="9"/>
  <c r="G96" i="6"/>
  <c r="E95" i="6"/>
  <c r="G95" i="6" s="1"/>
  <c r="G46" i="6"/>
  <c r="E45" i="6"/>
  <c r="G45" i="6" s="1"/>
  <c r="H4" i="9"/>
  <c r="M54" i="9"/>
  <c r="H181" i="9" s="1"/>
  <c r="F18" i="9"/>
  <c r="F12" i="9" s="1"/>
  <c r="F25" i="9"/>
  <c r="M26" i="9"/>
  <c r="G157" i="9" s="1"/>
  <c r="G25" i="9"/>
  <c r="F4" i="9"/>
  <c r="M8" i="9"/>
  <c r="G147" i="9" s="1"/>
  <c r="K84" i="9"/>
  <c r="L85" i="9"/>
  <c r="F198" i="9" s="1"/>
  <c r="E7" i="8"/>
  <c r="H7" i="8" s="1"/>
  <c r="L8" i="9"/>
  <c r="F147" i="9" s="1"/>
  <c r="K37" i="9"/>
  <c r="K64" i="9" s="1"/>
  <c r="L13" i="9"/>
  <c r="L137" i="9"/>
  <c r="M19" i="9"/>
  <c r="G153" i="9" s="1"/>
  <c r="N111" i="9"/>
  <c r="F222" i="9" s="1"/>
  <c r="L53" i="9"/>
  <c r="G169" i="9" s="1"/>
  <c r="I169" i="9" s="1"/>
  <c r="L41" i="9"/>
  <c r="G182" i="9" s="1"/>
  <c r="M20" i="9"/>
  <c r="G154" i="9" s="1"/>
  <c r="L9" i="9"/>
  <c r="F148" i="9" s="1"/>
  <c r="M56" i="9"/>
  <c r="H177" i="9" s="1"/>
  <c r="F137" i="9"/>
  <c r="M43" i="9"/>
  <c r="H167" i="9" s="1"/>
  <c r="M40" i="9"/>
  <c r="H185" i="9" s="1"/>
  <c r="I137" i="9"/>
  <c r="K137" i="9"/>
  <c r="M62" i="9"/>
  <c r="M98" i="9"/>
  <c r="N134" i="9"/>
  <c r="O134" i="9"/>
  <c r="M38" i="9"/>
  <c r="H174" i="9" s="1"/>
  <c r="M120" i="9"/>
  <c r="M137" i="9" s="1"/>
  <c r="G137" i="9"/>
  <c r="M41" i="9"/>
  <c r="H182" i="9" s="1"/>
  <c r="M13" i="9"/>
  <c r="M46" i="9"/>
  <c r="H180" i="9" s="1"/>
  <c r="I98" i="9"/>
  <c r="L99" i="9"/>
  <c r="N121" i="9"/>
  <c r="F220" i="9" s="1"/>
  <c r="J120" i="9"/>
  <c r="O107" i="9"/>
  <c r="G4" i="9"/>
  <c r="M59" i="9"/>
  <c r="H164" i="9" s="1"/>
  <c r="M42" i="9"/>
  <c r="H178" i="9" s="1"/>
  <c r="M48" i="9"/>
  <c r="M15" i="9"/>
  <c r="G152" i="9" s="1"/>
  <c r="M21" i="9"/>
  <c r="G155" i="9" s="1"/>
  <c r="E21" i="8"/>
  <c r="H21" i="8" s="1"/>
  <c r="G18" i="9"/>
  <c r="G12" i="9" s="1"/>
  <c r="L59" i="9"/>
  <c r="L46" i="9"/>
  <c r="G180" i="9" s="1"/>
  <c r="I180" i="9" s="1"/>
  <c r="I62" i="9"/>
  <c r="L38" i="9"/>
  <c r="M9" i="9"/>
  <c r="G148" i="9" s="1"/>
  <c r="F27" i="8"/>
  <c r="L30" i="9"/>
  <c r="F158" i="9" s="1"/>
  <c r="L19" i="9"/>
  <c r="F153" i="9" s="1"/>
  <c r="L26" i="9"/>
  <c r="F157" i="9" s="1"/>
  <c r="F16" i="8"/>
  <c r="E27" i="8"/>
  <c r="H27" i="8" s="1"/>
  <c r="F21" i="8"/>
  <c r="E16" i="8"/>
  <c r="H16" i="8" s="1"/>
  <c r="M73" i="9" l="1"/>
  <c r="G200" i="9" s="1"/>
  <c r="M71" i="9"/>
  <c r="G207" i="9" s="1"/>
  <c r="M75" i="9"/>
  <c r="G211" i="9" s="1"/>
  <c r="M76" i="9"/>
  <c r="G202" i="9" s="1"/>
  <c r="M83" i="9"/>
  <c r="G208" i="9" s="1"/>
  <c r="G172" i="9"/>
  <c r="I172" i="9" s="1"/>
  <c r="G174" i="9"/>
  <c r="I64" i="9"/>
  <c r="F210" i="9"/>
  <c r="I210" i="9" s="1"/>
  <c r="F193" i="9"/>
  <c r="I193" i="9" s="1"/>
  <c r="F191" i="9"/>
  <c r="I191" i="9" s="1"/>
  <c r="F203" i="9"/>
  <c r="I203" i="9" s="1"/>
  <c r="G92" i="9"/>
  <c r="M93" i="9"/>
  <c r="G197" i="9" s="1"/>
  <c r="M87" i="9"/>
  <c r="G205" i="9" s="1"/>
  <c r="M72" i="9"/>
  <c r="M79" i="9"/>
  <c r="I196" i="9"/>
  <c r="I78" i="9"/>
  <c r="H78" i="9"/>
  <c r="F78" i="9"/>
  <c r="F84" i="9"/>
  <c r="F221" i="9"/>
  <c r="F244" i="9" s="1"/>
  <c r="N115" i="9"/>
  <c r="M51" i="9"/>
  <c r="M45" i="9"/>
  <c r="L45" i="9"/>
  <c r="G150" i="9"/>
  <c r="G165" i="9"/>
  <c r="I165" i="9" s="1"/>
  <c r="L51" i="9"/>
  <c r="L58" i="9"/>
  <c r="G164" i="9"/>
  <c r="M58" i="9"/>
  <c r="I185" i="9"/>
  <c r="I182" i="9"/>
  <c r="I181" i="9"/>
  <c r="G70" i="9"/>
  <c r="F70" i="9"/>
  <c r="H31" i="9"/>
  <c r="H70" i="9"/>
  <c r="L71" i="9"/>
  <c r="F207" i="9" s="1"/>
  <c r="I70" i="9"/>
  <c r="M29" i="9"/>
  <c r="G158" i="9"/>
  <c r="K101" i="9"/>
  <c r="G244" i="9"/>
  <c r="I202" i="9"/>
  <c r="J137" i="9"/>
  <c r="I200" i="9"/>
  <c r="J64" i="9"/>
  <c r="I204" i="9"/>
  <c r="G84" i="9"/>
  <c r="H92" i="9"/>
  <c r="I192" i="9"/>
  <c r="I211" i="9"/>
  <c r="I92" i="9"/>
  <c r="L93" i="9"/>
  <c r="F197" i="9" s="1"/>
  <c r="M4" i="9"/>
  <c r="L4" i="9"/>
  <c r="L18" i="9"/>
  <c r="L12" i="9" s="1"/>
  <c r="L29" i="9"/>
  <c r="M18" i="9"/>
  <c r="M12" i="9" s="1"/>
  <c r="L79" i="9"/>
  <c r="L78" i="9" s="1"/>
  <c r="J84" i="9"/>
  <c r="I212" i="9"/>
  <c r="I205" i="9"/>
  <c r="L25" i="9"/>
  <c r="M25" i="9"/>
  <c r="J31" i="9"/>
  <c r="I84" i="9"/>
  <c r="L84" i="9"/>
  <c r="N107" i="9"/>
  <c r="L37" i="9"/>
  <c r="L62" i="9"/>
  <c r="M37" i="9"/>
  <c r="N120" i="9"/>
  <c r="L98" i="9"/>
  <c r="O137" i="9"/>
  <c r="I31" i="9"/>
  <c r="F64" i="9"/>
  <c r="G31" i="9"/>
  <c r="F31" i="9"/>
  <c r="G64" i="9"/>
  <c r="F28" i="8"/>
  <c r="I27" i="8" s="1"/>
  <c r="E28" i="8"/>
  <c r="H28" i="8" s="1"/>
  <c r="F215" i="9" l="1"/>
  <c r="I164" i="9"/>
  <c r="G186" i="9"/>
  <c r="I186" i="9" s="1"/>
  <c r="M78" i="9"/>
  <c r="M70" i="9"/>
  <c r="G192" i="9"/>
  <c r="I208" i="9"/>
  <c r="G101" i="9"/>
  <c r="I207" i="9"/>
  <c r="L70" i="9"/>
  <c r="J101" i="9"/>
  <c r="L92" i="9"/>
  <c r="I194" i="9"/>
  <c r="I190" i="9"/>
  <c r="H186" i="9"/>
  <c r="L64" i="9"/>
  <c r="M92" i="9"/>
  <c r="H101" i="9"/>
  <c r="F101" i="9"/>
  <c r="N137" i="9"/>
  <c r="I101" i="9"/>
  <c r="M84" i="9"/>
  <c r="M64" i="9"/>
  <c r="M31" i="9"/>
  <c r="L23" i="8"/>
  <c r="L11" i="8"/>
  <c r="L25" i="8"/>
  <c r="L6" i="8"/>
  <c r="I7" i="8"/>
  <c r="I26" i="8"/>
  <c r="I11" i="8"/>
  <c r="I20" i="8"/>
  <c r="L14" i="8"/>
  <c r="I15" i="8"/>
  <c r="I6" i="8"/>
  <c r="L8" i="8"/>
  <c r="I22" i="8"/>
  <c r="I10" i="8"/>
  <c r="L10" i="8"/>
  <c r="L19" i="8"/>
  <c r="L24" i="8"/>
  <c r="L9" i="8"/>
  <c r="L15" i="8"/>
  <c r="L17" i="8"/>
  <c r="I21" i="8"/>
  <c r="I14" i="8"/>
  <c r="I25" i="8"/>
  <c r="I19" i="8"/>
  <c r="I12" i="8"/>
  <c r="I13" i="8"/>
  <c r="I24" i="8"/>
  <c r="I16" i="8"/>
  <c r="L4" i="8"/>
  <c r="L13" i="8"/>
  <c r="L5" i="8"/>
  <c r="L18" i="8"/>
  <c r="L12" i="8"/>
  <c r="L26" i="8"/>
  <c r="L20" i="8"/>
  <c r="I8" i="8"/>
  <c r="I18" i="8"/>
  <c r="I9" i="8"/>
  <c r="I23" i="8"/>
  <c r="I5" i="8"/>
  <c r="I17" i="8"/>
  <c r="I4" i="8"/>
  <c r="L22" i="8"/>
  <c r="L101" i="9" l="1"/>
  <c r="M101" i="9"/>
  <c r="L16" i="8"/>
  <c r="L27" i="8"/>
  <c r="L7" i="8"/>
  <c r="L21" i="8"/>
  <c r="G215" i="9" l="1"/>
  <c r="L28" i="8"/>
  <c r="M9" i="8" s="1"/>
  <c r="O9" i="8" s="1"/>
  <c r="M12" i="8" l="1"/>
  <c r="O12" i="8" s="1"/>
  <c r="M7" i="8"/>
  <c r="M27" i="8"/>
  <c r="M16" i="8"/>
  <c r="M20" i="8"/>
  <c r="O20" i="8" s="1"/>
  <c r="M23" i="8"/>
  <c r="O23" i="8" s="1"/>
  <c r="M14" i="8"/>
  <c r="O14" i="8" s="1"/>
  <c r="M13" i="8"/>
  <c r="O13" i="8" s="1"/>
  <c r="M6" i="8"/>
  <c r="O6" i="8" s="1"/>
  <c r="M19" i="8"/>
  <c r="O19" i="8" s="1"/>
  <c r="M18" i="8"/>
  <c r="O18" i="8" s="1"/>
  <c r="M15" i="8"/>
  <c r="O15" i="8" s="1"/>
  <c r="M22" i="8"/>
  <c r="M26" i="8"/>
  <c r="O26" i="8" s="1"/>
  <c r="M5" i="8"/>
  <c r="O5" i="8" s="1"/>
  <c r="M25" i="8"/>
  <c r="O25" i="8" s="1"/>
  <c r="M11" i="8"/>
  <c r="O11" i="8" s="1"/>
  <c r="M17" i="8"/>
  <c r="M24" i="8"/>
  <c r="O24" i="8" s="1"/>
  <c r="M10" i="8"/>
  <c r="O10" i="8" s="1"/>
  <c r="M8" i="8"/>
  <c r="M4" i="8"/>
  <c r="O4" i="8" s="1"/>
  <c r="M21" i="8" l="1"/>
  <c r="O21" i="8"/>
  <c r="O7" i="8"/>
  <c r="O27" i="8"/>
  <c r="O16" i="8"/>
  <c r="O28" i="8" l="1"/>
  <c r="N1" i="8" s="1"/>
  <c r="N17" i="8" s="1"/>
  <c r="N15" i="8" l="1"/>
  <c r="P15" i="8" s="1"/>
  <c r="Q15" i="8" s="1"/>
  <c r="N26" i="8"/>
  <c r="P26" i="8" s="1"/>
  <c r="Q26" i="8" s="1"/>
  <c r="N5" i="8"/>
  <c r="P5" i="8" s="1"/>
  <c r="Q5" i="8" s="1"/>
  <c r="N22" i="8"/>
  <c r="P22" i="8" s="1"/>
  <c r="N20" i="8"/>
  <c r="P20" i="8" s="1"/>
  <c r="Q20" i="8" s="1"/>
  <c r="N25" i="8"/>
  <c r="P25" i="8" s="1"/>
  <c r="Q25" i="8" s="1"/>
  <c r="N11" i="8"/>
  <c r="P11" i="8" s="1"/>
  <c r="Q11" i="8" s="1"/>
  <c r="N24" i="8"/>
  <c r="P24" i="8" s="1"/>
  <c r="Q24" i="8" s="1"/>
  <c r="N10" i="8"/>
  <c r="P10" i="8" s="1"/>
  <c r="Q10" i="8" s="1"/>
  <c r="N19" i="8"/>
  <c r="P19" i="8" s="1"/>
  <c r="Q19" i="8" s="1"/>
  <c r="N6" i="8"/>
  <c r="P6" i="8" s="1"/>
  <c r="Q6" i="8" s="1"/>
  <c r="N18" i="8"/>
  <c r="P18" i="8" s="1"/>
  <c r="Q18" i="8" s="1"/>
  <c r="N8" i="8"/>
  <c r="P8" i="8" s="1"/>
  <c r="N23" i="8"/>
  <c r="P23" i="8" s="1"/>
  <c r="Q23" i="8" s="1"/>
  <c r="N12" i="8"/>
  <c r="P12" i="8" s="1"/>
  <c r="Q12" i="8" s="1"/>
  <c r="N9" i="8"/>
  <c r="P9" i="8" s="1"/>
  <c r="Q9" i="8" s="1"/>
  <c r="N14" i="8"/>
  <c r="P14" i="8" s="1"/>
  <c r="Q14" i="8" s="1"/>
  <c r="N4" i="8"/>
  <c r="P4" i="8" s="1"/>
  <c r="N13" i="8"/>
  <c r="P13" i="8" s="1"/>
  <c r="Q13" i="8" s="1"/>
  <c r="P17" i="8"/>
  <c r="N27" i="8" l="1"/>
  <c r="N21" i="8"/>
  <c r="N7" i="8"/>
  <c r="N16" i="8"/>
  <c r="P21" i="8"/>
  <c r="Q17" i="8"/>
  <c r="Q21" i="8" s="1"/>
  <c r="P16" i="8"/>
  <c r="Q8" i="8"/>
  <c r="Q16" i="8" s="1"/>
  <c r="P7" i="8"/>
  <c r="Q4" i="8"/>
  <c r="P27" i="8"/>
  <c r="Q22" i="8"/>
  <c r="Q27" i="8" s="1"/>
  <c r="N28" i="8" l="1"/>
  <c r="Q7" i="8"/>
  <c r="Q28" i="8" s="1"/>
  <c r="P28" i="8"/>
  <c r="K31" i="9"/>
  <c r="L31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tc={1242BDA8-653D-4D35-B4BE-8E1451360401}</author>
  </authors>
  <commentList>
    <comment ref="D268" authorId="0" shapeId="0" xr:uid="{1242BDA8-653D-4D35-B4BE-8E1451360401}">
      <text>
        <r>
          <rPr>
            <sz val="11"/>
            <color theme="1"/>
            <rFont val="Arial"/>
            <family val="2"/>
            <charset val="163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26/9</t>
        </r>
      </text>
    </comment>
  </commentList>
</comments>
</file>

<file path=xl/sharedStrings.xml><?xml version="1.0" encoding="utf-8"?>
<sst xmlns="http://schemas.openxmlformats.org/spreadsheetml/2006/main" count="3021" uniqueCount="619">
  <si>
    <t>STT</t>
  </si>
  <si>
    <t>Mã hợp đồng</t>
  </si>
  <si>
    <t>Mã HĐ</t>
  </si>
  <si>
    <t>Ngày ký HĐ</t>
  </si>
  <si>
    <t>Tên khách hàng</t>
  </si>
  <si>
    <t>Nguồn Lead</t>
  </si>
  <si>
    <t>Nguồn đơn hàng</t>
  </si>
  <si>
    <t>Dự án</t>
  </si>
  <si>
    <t>Loại hợp đồng</t>
  </si>
  <si>
    <t>Doanh số trước VAT</t>
  </si>
  <si>
    <t>Doanh số sau VAT</t>
  </si>
  <si>
    <t>Doanh số HĐ Khung</t>
  </si>
  <si>
    <t>Giá mua (tạm tính)</t>
  </si>
  <si>
    <t>Margin tạm tính</t>
  </si>
  <si>
    <t>Gross Profit
(Lợi nhuận gộp)</t>
  </si>
  <si>
    <t>Nhân viên kinh doanh</t>
  </si>
  <si>
    <t>Phòng ban</t>
  </si>
  <si>
    <t>Nhu cầu</t>
  </si>
  <si>
    <t>Loại đơn hàng</t>
  </si>
  <si>
    <t>Địa chỉ</t>
  </si>
  <si>
    <t>Loại hình căn hộ</t>
  </si>
  <si>
    <t>Ngày tạo cơ hội</t>
  </si>
  <si>
    <t>Năm tạo</t>
  </si>
  <si>
    <t>Tháng tạo</t>
  </si>
  <si>
    <t>Ngày tạo</t>
  </si>
  <si>
    <t>Tuần</t>
  </si>
  <si>
    <t>Quý</t>
  </si>
  <si>
    <t>Nguồn</t>
  </si>
  <si>
    <t>Tình trạng đơn</t>
  </si>
  <si>
    <t>51B2B2601002</t>
  </si>
  <si>
    <t>Fursys</t>
  </si>
  <si>
    <t>Customer</t>
  </si>
  <si>
    <t>Gia công</t>
  </si>
  <si>
    <t>Nguyễn Hoàng Dương</t>
  </si>
  <si>
    <t>Làm nội thất lần đầu</t>
  </si>
  <si>
    <t>B2B</t>
  </si>
  <si>
    <t>TP Hồ Chí Minh</t>
  </si>
  <si>
    <t>Văn phòng</t>
  </si>
  <si>
    <t>29B2B2512062 - HĐTK</t>
  </si>
  <si>
    <t>Lưu Thu Hoài</t>
  </si>
  <si>
    <t>Facebook</t>
  </si>
  <si>
    <t>Thiết kế</t>
  </si>
  <si>
    <t>Nguyễn Lâm Vũ</t>
  </si>
  <si>
    <t>Cải tạo thô + nội thất</t>
  </si>
  <si>
    <t>B2C</t>
  </si>
  <si>
    <t>Hà Nội</t>
  </si>
  <si>
    <t>Nhà mặt đất</t>
  </si>
  <si>
    <t>19/12/2025</t>
  </si>
  <si>
    <t>29B2B2512062</t>
  </si>
  <si>
    <t>29B2C2512062 - HĐTC</t>
  </si>
  <si>
    <t>Chị Hoài - Gardenia Hàm Nghi</t>
  </si>
  <si>
    <t>Thi công</t>
  </si>
  <si>
    <t>MKT</t>
  </si>
  <si>
    <t>30B2C2601005</t>
  </si>
  <si>
    <t>anh Tuấn chị Linh</t>
  </si>
  <si>
    <t>Lê Đức Trung Anh</t>
  </si>
  <si>
    <t>Hà Nội - Tây Hồ</t>
  </si>
  <si>
    <t>29B2C2511024_Chênh HĐ Khung</t>
  </si>
  <si>
    <t>Nguyễn Văn Công (Anh Công Home City)</t>
  </si>
  <si>
    <t>Đặng Công Bình</t>
  </si>
  <si>
    <t>Cải tạo nội thất</t>
  </si>
  <si>
    <t>30B2C2601006 - HĐTK</t>
  </si>
  <si>
    <t>Phương Linh</t>
  </si>
  <si>
    <t>Dương Xuân Thái</t>
  </si>
  <si>
    <t>Hà Nội - Long Biên</t>
  </si>
  <si>
    <t>Chung cư</t>
  </si>
  <si>
    <t>30B2C2601006 - HĐTC</t>
  </si>
  <si>
    <t>Chị Linh - Khai Sơn</t>
  </si>
  <si>
    <t>51EAZ2601008</t>
  </si>
  <si>
    <t>Đoàn Trung Thiên Ân</t>
  </si>
  <si>
    <t>Thuê nội thất</t>
  </si>
  <si>
    <t>Vũ Ánh Dương</t>
  </si>
  <si>
    <t>15B2C2503026 - PL04 đồ rời</t>
  </si>
  <si>
    <t>Bác sĩ Hà - HP</t>
  </si>
  <si>
    <t>Đồ rời</t>
  </si>
  <si>
    <t>Hải Phòng</t>
  </si>
  <si>
    <t>Villa/ Biệt thự</t>
  </si>
  <si>
    <t>51B2C2601012</t>
  </si>
  <si>
    <t>Anh Quang Villa</t>
  </si>
  <si>
    <t>Reference</t>
  </si>
  <si>
    <t>Nguyễn Thanh Bình</t>
  </si>
  <si>
    <t>29B2C2601007</t>
  </si>
  <si>
    <t>Chú Hùng - Ngoại Giao Đoàn</t>
  </si>
  <si>
    <t>Đinh Ngọc Thịnh</t>
  </si>
  <si>
    <t>Hà Nội - Từ Liêm</t>
  </si>
  <si>
    <t>99B2C2601012</t>
  </si>
  <si>
    <t>anh Quang - Bắc Ninh</t>
  </si>
  <si>
    <t>Đỗ Đắc Long</t>
  </si>
  <si>
    <t>Bắc Ninh</t>
  </si>
  <si>
    <t>17B2C2601016 - HĐTK</t>
  </si>
  <si>
    <t>anh Tiến Thái Bình</t>
  </si>
  <si>
    <t>Website</t>
  </si>
  <si>
    <t>Ngũ Việt Tuấn</t>
  </si>
  <si>
    <t>Đã quyết toán</t>
  </si>
  <si>
    <t>17B2C2601016 - HĐTC</t>
  </si>
  <si>
    <t>anh Tiến - Thái Bình</t>
  </si>
  <si>
    <t>51B2B2506024 - Phát sinh thêm</t>
  </si>
  <si>
    <t>anh Hoài Anh</t>
  </si>
  <si>
    <t>Zalo</t>
  </si>
  <si>
    <t>Hồ Chí Minh</t>
  </si>
  <si>
    <t>51B2C2601016</t>
  </si>
  <si>
    <t>Bàn họp B&amp;A Phạm Hùng</t>
  </si>
  <si>
    <t>Partner</t>
  </si>
  <si>
    <t>29B2C2601015 - HĐTK</t>
  </si>
  <si>
    <t>Chị My Đông Anh</t>
  </si>
  <si>
    <t>Trần Thị Phương Thảo</t>
  </si>
  <si>
    <t>29B2C2601015</t>
  </si>
  <si>
    <t>29B2C2601015 - HĐTC</t>
  </si>
  <si>
    <t>Chị My - Đông Anh</t>
  </si>
  <si>
    <t>51B2C2601018</t>
  </si>
  <si>
    <t>Anh Thương Q7</t>
  </si>
  <si>
    <t>29B2C2601019</t>
  </si>
  <si>
    <t>Phạm Phượng</t>
  </si>
  <si>
    <t>Lê Thị Sao Mai</t>
  </si>
  <si>
    <t>Hủy thi công</t>
  </si>
  <si>
    <t>Doanh số TMĐT Tháng 1</t>
  </si>
  <si>
    <t>Doanh số TMĐT tháng 1</t>
  </si>
  <si>
    <t>TMĐT</t>
  </si>
  <si>
    <t>Nguyễn Ngọc Mai</t>
  </si>
  <si>
    <t>29B2C2512056</t>
  </si>
  <si>
    <t>Nguyễn Ngân</t>
  </si>
  <si>
    <t>Hợp đồng khung</t>
  </si>
  <si>
    <t>29B2B2602005</t>
  </si>
  <si>
    <t>Văn phòng DDV</t>
  </si>
  <si>
    <t>51B2C2602022</t>
  </si>
  <si>
    <t>Thuỳ Nhung</t>
  </si>
  <si>
    <t>Tiêu Chí Quốc</t>
  </si>
  <si>
    <t>29B2C2601010 - HĐTK</t>
  </si>
  <si>
    <t>Dũng Thảo - Cầu Giấy</t>
  </si>
  <si>
    <t>29B2C2601010 - HĐTC Thô</t>
  </si>
  <si>
    <t>Nguyễn Kiều Vân</t>
  </si>
  <si>
    <t>29B2C2602001</t>
  </si>
  <si>
    <t>Chị Thơ</t>
  </si>
  <si>
    <t>Sale tự kiếm</t>
  </si>
  <si>
    <t>51EAZ2602002</t>
  </si>
  <si>
    <t>Lê Thanh Hải</t>
  </si>
  <si>
    <t>Doanh số TMĐT M2</t>
  </si>
  <si>
    <t>Doanh số TMĐT Tháng 2</t>
  </si>
  <si>
    <t>89B2C2601009</t>
  </si>
  <si>
    <t>Tra Nguyen</t>
  </si>
  <si>
    <t>Chu Hoàng Nam</t>
  </si>
  <si>
    <t>Hưng Yên</t>
  </si>
  <si>
    <t>29B2C2601020</t>
  </si>
  <si>
    <t>Nguyen Phan Tuan Anh</t>
  </si>
  <si>
    <t>51B2C2601021</t>
  </si>
  <si>
    <t>Phát sinh Anh Quang Villa</t>
  </si>
  <si>
    <t>Giới thiệu</t>
  </si>
  <si>
    <t>29B2C2602010 - HĐTK</t>
  </si>
  <si>
    <t>Đường Xuân Diệu</t>
  </si>
  <si>
    <t>29B2C2602010 - HĐTC</t>
  </si>
  <si>
    <t>Anh Diệu - 671 Hoàng Hoa Thám</t>
  </si>
  <si>
    <t>29B2C2601014</t>
  </si>
  <si>
    <t>Trang Nguyễn</t>
  </si>
  <si>
    <t>Phạm Nguyên Khánh</t>
  </si>
  <si>
    <t>29B2C2601014 - HĐTC</t>
  </si>
  <si>
    <t>Chị Trang Ecopark</t>
  </si>
  <si>
    <t>29B2B2602003 - HĐTK</t>
  </si>
  <si>
    <t>Hà Minh Huệ</t>
  </si>
  <si>
    <t>29B2B2602003 - HĐTC</t>
  </si>
  <si>
    <t>Chị Minh Huệ - Phùng Chí Kiên</t>
  </si>
  <si>
    <t>29B2B2602011</t>
  </si>
  <si>
    <t>Hà Thế Mạnh</t>
  </si>
  <si>
    <t>Bắc Ninh - Từ Sơn</t>
  </si>
  <si>
    <t>29B2C2602004 - HĐTK</t>
  </si>
  <si>
    <t>Chị Hảo</t>
  </si>
  <si>
    <t>Hotline</t>
  </si>
  <si>
    <t>29B2C2602004 - HĐTC</t>
  </si>
  <si>
    <t>Chị Hảo - Vinsmart</t>
  </si>
  <si>
    <t>15B2C2602012 - HĐTK</t>
  </si>
  <si>
    <t>Chị Thảo Minato</t>
  </si>
  <si>
    <t>Trần Tuấn Anh</t>
  </si>
  <si>
    <t>29B2C2603004 - HĐTK</t>
  </si>
  <si>
    <t>Phạm Công Thành</t>
  </si>
  <si>
    <t>29B2C2603003 - HĐTK</t>
  </si>
  <si>
    <t>anh Phong</t>
  </si>
  <si>
    <t>51B2B2511001 - PS</t>
  </si>
  <si>
    <t>DNP Phát sinh</t>
  </si>
  <si>
    <t>Đồng Nai</t>
  </si>
  <si>
    <t>51B2C2601012 - PS</t>
  </si>
  <si>
    <t>Doanh số TMĐT M3W1</t>
  </si>
  <si>
    <t>Hà Thị Ngọc TMĐT</t>
  </si>
  <si>
    <t>29B2C2603011 - HĐTK</t>
  </si>
  <si>
    <t>Chị Lan</t>
  </si>
  <si>
    <t>29B2C2603010 - HĐTK</t>
  </si>
  <si>
    <t>Cô Oanh Đội Cấn</t>
  </si>
  <si>
    <t>Hà Nội - Ba Đình</t>
  </si>
  <si>
    <t>29B2C2603012 - HĐTK</t>
  </si>
  <si>
    <t>Văn Thanh Phương</t>
  </si>
  <si>
    <t>29REN2603001</t>
  </si>
  <si>
    <t>Chị Trang HP</t>
  </si>
  <si>
    <t>Khách sạn</t>
  </si>
  <si>
    <t>29B2C2603013</t>
  </si>
  <si>
    <t>Chị Nga - Ứng Hòa</t>
  </si>
  <si>
    <t>Shome</t>
  </si>
  <si>
    <t>Doanh số TMĐT M3W2</t>
  </si>
  <si>
    <t>29B2C2603015</t>
  </si>
  <si>
    <t>Nguyễn Việt Hoàng</t>
  </si>
  <si>
    <t>29B2C2603014</t>
  </si>
  <si>
    <t>Anh Hà - Nghi Tàm</t>
  </si>
  <si>
    <t>Khách cọc nhưng ko thi công do thuộc đất quy hoạch</t>
  </si>
  <si>
    <t>29B2C2603008</t>
  </si>
  <si>
    <t>Anh Đạt - Thăng Long Number 1</t>
  </si>
  <si>
    <t>29B2C2603017 - HĐTK</t>
  </si>
  <si>
    <t>Chị Phương Anh (anh Tùng)</t>
  </si>
  <si>
    <t>29B2C2603017 - HĐTC Thô</t>
  </si>
  <si>
    <t>Chị Phương Anh - Đê La Thành (anh Tùng)</t>
  </si>
  <si>
    <t>29B2C2603018 - HĐTK</t>
  </si>
  <si>
    <t>MS NHI - ROYAL CITY</t>
  </si>
  <si>
    <t>29B2C2512056 
Chênh lệch GTHĐ Khung</t>
  </si>
  <si>
    <t>Cô Thuận - Cầu Giấy</t>
  </si>
  <si>
    <t>Ngô Thanh Tùng</t>
  </si>
  <si>
    <t>Doanh số TMĐT M3W3</t>
  </si>
  <si>
    <t>29B2C2603004 - HĐTC</t>
  </si>
  <si>
    <t>Anh Thành - ĐH Mỏ Địa Chất</t>
  </si>
  <si>
    <t>29B2C2603021 - HĐTK</t>
  </si>
  <si>
    <t>Trần Ngọc Hưởng</t>
  </si>
  <si>
    <t>Hà Nội - Hoài Đức</t>
  </si>
  <si>
    <t>29B2C2603016 - HĐTK</t>
  </si>
  <si>
    <t>CÔNG TY TNHH PHÂN PHỐI RC ODV ( ANH HẬU BT6 - 96 NGUYỄN HUY TƯỞNG)</t>
  </si>
  <si>
    <t>Showroom</t>
  </si>
  <si>
    <t>29B2B2603001</t>
  </si>
  <si>
    <t>anh Trường (Công ty Viên Ba)</t>
  </si>
  <si>
    <t>15B2C2603025</t>
  </si>
  <si>
    <t>Anh Khoa - Sentosa căn hộ 2724</t>
  </si>
  <si>
    <t>51B2C2603028 - HĐTK</t>
  </si>
  <si>
    <t>Nguyễn Tấn Phát</t>
  </si>
  <si>
    <t>Đàm Bình Minh</t>
  </si>
  <si>
    <t>51B2B2603026 - HĐTK</t>
  </si>
  <si>
    <t>Netnam HCM</t>
  </si>
  <si>
    <t>Hồ Thị Thu Hằng</t>
  </si>
  <si>
    <t>Quý I</t>
  </si>
  <si>
    <t>51B2B2603027</t>
  </si>
  <si>
    <t>Khách sạn Phú Quốc Gói 1</t>
  </si>
  <si>
    <t>Phú Quốc</t>
  </si>
  <si>
    <t>29B2C2603033</t>
  </si>
  <si>
    <t>Thu Huyền</t>
  </si>
  <si>
    <t>Phạm Hoàng Giang</t>
  </si>
  <si>
    <t>Doanh số TMĐT M3W4</t>
  </si>
  <si>
    <t>51B2B2603026 - HĐTC (BU HCM)</t>
  </si>
  <si>
    <t>51B2B2603026 - HĐTC (BU 1)</t>
  </si>
  <si>
    <t>15B2C2603025 - PL03</t>
  </si>
  <si>
    <t>Anh Khoa - Sentosa căn hộ 2725</t>
  </si>
  <si>
    <t>29B2C2603018 - HĐTC</t>
  </si>
  <si>
    <t>Chị Nhi - Royal City</t>
  </si>
  <si>
    <t>29B2C2603030 - HĐTK</t>
  </si>
  <si>
    <t>Na Nông (Chị Hạnh Cổ Nhuế)</t>
  </si>
  <si>
    <t>29B2C2604002 - HĐTK</t>
  </si>
  <si>
    <t>Anh Hoàng - Nam Định</t>
  </si>
  <si>
    <t>Ninh Bình - Nam Định</t>
  </si>
  <si>
    <t>29B2C2604003</t>
  </si>
  <si>
    <t>Chị Thủy OCP 1</t>
  </si>
  <si>
    <t>29B2C2604001</t>
  </si>
  <si>
    <t>Biệt thự Hoàn Kiếm (Tập đoàn Aritta)</t>
  </si>
  <si>
    <t>29B2C2603024</t>
  </si>
  <si>
    <t>cô Quyên</t>
  </si>
  <si>
    <t>29B2C2604008</t>
  </si>
  <si>
    <t>Trang Le</t>
  </si>
  <si>
    <t>Trần Hán Triều</t>
  </si>
  <si>
    <t>29B2B2604007</t>
  </si>
  <si>
    <t>Cải tạo thô</t>
  </si>
  <si>
    <t>51B2C2604009</t>
  </si>
  <si>
    <t>Huyền Mi</t>
  </si>
  <si>
    <t>29B2C2603011 - HĐTC</t>
  </si>
  <si>
    <t>Chị Lan - Đình Thôn</t>
  </si>
  <si>
    <t>51B2B2604010</t>
  </si>
  <si>
    <t>Fursys T4</t>
  </si>
  <si>
    <t>Doanh số TMĐT W(1+2)M4</t>
  </si>
  <si>
    <t>29B2C2604012</t>
  </si>
  <si>
    <t>Chị Lan Anh - Homecity</t>
  </si>
  <si>
    <t>29B2C2604004 - HĐTK</t>
  </si>
  <si>
    <t>Anh Lộc - Cầu Giấy</t>
  </si>
  <si>
    <t>29B2C2604014</t>
  </si>
  <si>
    <t>Chị Diệp Anh - Hoàng Cầu</t>
  </si>
  <si>
    <t>29B2C2604003 - HĐTC</t>
  </si>
  <si>
    <t>51B2B2604016</t>
  </si>
  <si>
    <t>Khách sạn Phú Quốc Gói 2</t>
  </si>
  <si>
    <t>Doanh số TMĐT W3M4</t>
  </si>
  <si>
    <t>29B2C2604017</t>
  </si>
  <si>
    <t>Chị Thanh Hà</t>
  </si>
  <si>
    <t>29B2C2604021- HĐTK</t>
  </si>
  <si>
    <t>anh Phú - The Charm</t>
  </si>
  <si>
    <t>The Charm</t>
  </si>
  <si>
    <t>Hà Nội - Hà Đông</t>
  </si>
  <si>
    <t>51B2C2603028 - HĐTC</t>
  </si>
  <si>
    <t>anh Phát</t>
  </si>
  <si>
    <t>29B2C2604018</t>
  </si>
  <si>
    <t>Chị Hạnh - Time City</t>
  </si>
  <si>
    <t>29B2C2604022</t>
  </si>
  <si>
    <t>Chị Huyền The Charm</t>
  </si>
  <si>
    <t>Doanh số TMĐT M4W4</t>
  </si>
  <si>
    <t>29B2C2603030 - HĐTC</t>
  </si>
  <si>
    <t>Chị Hạnh - Cổ Nhuế</t>
  </si>
  <si>
    <t>51B2C2604026</t>
  </si>
  <si>
    <t>Zeekr Trần Hưng Đạo (BNA)</t>
  </si>
  <si>
    <t>29B2C2604024</t>
  </si>
  <si>
    <t>Anh Quân - Long Biên</t>
  </si>
  <si>
    <t>Doanh số TMĐT M4W5</t>
  </si>
  <si>
    <t>29B2C2603012 - HĐTC</t>
  </si>
  <si>
    <t>Chị Phương - Lê Văn Lương</t>
  </si>
  <si>
    <t>29B2C2604022 - HĐTC</t>
  </si>
  <si>
    <t>chị Huyền - The Charm</t>
  </si>
  <si>
    <t>W1</t>
  </si>
  <si>
    <t>51B2C2604009 - HĐTC</t>
  </si>
  <si>
    <t>Chị Mi - Homeland 2</t>
  </si>
  <si>
    <t>51B2B2605001</t>
  </si>
  <si>
    <t>Phong Vũ Quận 4</t>
  </si>
  <si>
    <t>Doanh số TMĐT M5W1</t>
  </si>
  <si>
    <t>29B2C2505005 - HĐTK</t>
  </si>
  <si>
    <t>Chị Thương -  Hoàng Mai</t>
  </si>
  <si>
    <t>W2</t>
  </si>
  <si>
    <t>29B2B2604015 - HĐTK</t>
  </si>
  <si>
    <t>Trường Ardingly Lào Cai - Gói Thiết kế</t>
  </si>
  <si>
    <t>Lê Thị Hằng</t>
  </si>
  <si>
    <t>Lào Cai</t>
  </si>
  <si>
    <t>Trường học</t>
  </si>
  <si>
    <t>29B2C2605002</t>
  </si>
  <si>
    <t>Chị Khanh - Thạch Bàn</t>
  </si>
  <si>
    <t>Holding</t>
  </si>
  <si>
    <t>Khác</t>
  </si>
  <si>
    <t>29B2C2601010 - HĐTC NT</t>
  </si>
  <si>
    <t>29B2C2605003 - HĐTK</t>
  </si>
  <si>
    <t xml:space="preserve"> ANH HUY - BEVERLY OCP1 (Nguyễn Viết Huy)</t>
  </si>
  <si>
    <t>Doanh số TMĐT M5W2</t>
  </si>
  <si>
    <t>29REN2404036 - Mua lại</t>
  </si>
  <si>
    <t>anh Vinh</t>
  </si>
  <si>
    <t>W3</t>
  </si>
  <si>
    <t>29B2B2605020</t>
  </si>
  <si>
    <t>Trường Đoàn Thị Điểm - TH&amp;THCS</t>
  </si>
  <si>
    <t>29B2C2603016 - HĐTC</t>
  </si>
  <si>
    <t>Anh Hậu BT6 - 96 Nguyễn Huy Tưởng (CÔNG TY TNHH PHÂN PHỐI RC ODV)</t>
  </si>
  <si>
    <t>29B2C2605008</t>
  </si>
  <si>
    <t>Chị Oanh - Westpoint</t>
  </si>
  <si>
    <t>Hà Nội - Cầu Giấy</t>
  </si>
  <si>
    <t>29B2C2605009</t>
  </si>
  <si>
    <t>Doanh số TMĐT M5W3</t>
  </si>
  <si>
    <t>29B2C2605011</t>
  </si>
  <si>
    <t>Chị Trang - Timecity</t>
  </si>
  <si>
    <t>W4</t>
  </si>
  <si>
    <t>29B2C2604017 - HĐTC</t>
  </si>
  <si>
    <t>Chị Hà - Homecity</t>
  </si>
  <si>
    <t>29B2B2605012 - HĐTK</t>
  </si>
  <si>
    <t>Anh Chiến - Hải Phòng</t>
  </si>
  <si>
    <t>29B2B2605012 - HĐTC</t>
  </si>
  <si>
    <t>29B2C2605014</t>
  </si>
  <si>
    <t>KS Hòa Mã - Khai Sơn</t>
  </si>
  <si>
    <t>Hoàng Xuân Sơn</t>
  </si>
  <si>
    <t>29B2B2605026</t>
  </si>
  <si>
    <t>Trường Ardingly Lào Cai - Khối Nội Trú</t>
  </si>
  <si>
    <t>29B2C2604014 - HĐTC</t>
  </si>
  <si>
    <t>Đàm Minh Hải</t>
  </si>
  <si>
    <t>29B2C2606001 - HĐTK</t>
  </si>
  <si>
    <t>Anh Chị Trường Giang - Quốc Oai</t>
  </si>
  <si>
    <t>Nguyễn Ngọc Thanh</t>
  </si>
  <si>
    <t>Hà Nội - Quốc Oai</t>
  </si>
  <si>
    <t>29B2C2605013 - HĐTK</t>
  </si>
  <si>
    <t>Studio Minh Châu - Hà Đông</t>
  </si>
  <si>
    <t>Loại hình khác</t>
  </si>
  <si>
    <t>51B2B2606003</t>
  </si>
  <si>
    <t>Văn Phòng</t>
  </si>
  <si>
    <t>29B2C2604012 - HĐTC</t>
  </si>
  <si>
    <t>29B2C2606003 - HĐTK</t>
  </si>
  <si>
    <t>Anh Tuấn - Hoàng Hoa Thám</t>
  </si>
  <si>
    <t>29B2C2606003 - HĐTC</t>
  </si>
  <si>
    <t>Doanh số TMĐT M5W4</t>
  </si>
  <si>
    <t>Nguyễn Thị Khánh Ly</t>
  </si>
  <si>
    <t>29B2B2606001</t>
  </si>
  <si>
    <t>Anh Ngọc - Cầu Giấy</t>
  </si>
  <si>
    <t>29B2B2606002</t>
  </si>
  <si>
    <t>Anh Minh - Long Biên</t>
  </si>
  <si>
    <t>29B2C2606007</t>
  </si>
  <si>
    <t>Nguyễn Anh Quân</t>
  </si>
  <si>
    <t>51B2B2606005</t>
  </si>
  <si>
    <t>Doanh số TMĐT M6W2</t>
  </si>
  <si>
    <t>29B2C2605006</t>
  </si>
  <si>
    <t>Chú Tuyến - Mễ Trì</t>
  </si>
  <si>
    <t>51B2C2606011</t>
  </si>
  <si>
    <t>Anh Tùng Quận 9</t>
  </si>
  <si>
    <t>29B2C2601010 - PL03</t>
  </si>
  <si>
    <t>29B2B2606011 - BU HCM</t>
  </si>
  <si>
    <t>Nhà Máy Nước - BNA</t>
  </si>
  <si>
    <t>29B2B2606011 - BU 1</t>
  </si>
  <si>
    <t>29REN2606009</t>
  </si>
  <si>
    <t>anh Giang - Gia hạn thuê Rental</t>
  </si>
  <si>
    <t>Doanh số TMĐT M6W3</t>
  </si>
  <si>
    <t>29B2C2605013 - HĐTC</t>
  </si>
  <si>
    <t>51B2C2606012</t>
  </si>
  <si>
    <t>Anh Sơn - Dĩ An</t>
  </si>
  <si>
    <t>29B2C2606016</t>
  </si>
  <si>
    <t>Chị Mai Phương</t>
  </si>
  <si>
    <t>29B2C2606014</t>
  </si>
  <si>
    <t>Anh Quân - Vimeco CT4</t>
  </si>
  <si>
    <t>29B2C2606017</t>
  </si>
  <si>
    <t xml:space="preserve">Mã HĐ </t>
  </si>
  <si>
    <t>15B2C2602012 - HĐTC</t>
  </si>
  <si>
    <t>Năm ký HĐ Khung</t>
  </si>
  <si>
    <t>Doanh số đã chuyển đổi sang thi công</t>
  </si>
  <si>
    <t>Số lượng đơn</t>
  </si>
  <si>
    <t>16B2C2503037</t>
  </si>
  <si>
    <t>Chị Trang - Khách sạn Hải Phòng</t>
  </si>
  <si>
    <t>29B2C2512020</t>
  </si>
  <si>
    <t>29B2C2512020 - HĐTC</t>
  </si>
  <si>
    <t>Chị Liên - Hoàng Minh Giám</t>
  </si>
  <si>
    <t>BU 1</t>
  </si>
  <si>
    <t>BU 2</t>
  </si>
  <si>
    <t>29B2B2512062 - HĐTC</t>
  </si>
  <si>
    <t>BU 3</t>
  </si>
  <si>
    <t>29B2C2511040</t>
  </si>
  <si>
    <t>Chị Ngọc - Hoàng Hoa Thám</t>
  </si>
  <si>
    <t>29B2C2512036</t>
  </si>
  <si>
    <t>29B2C2602010</t>
  </si>
  <si>
    <t>Grand Total</t>
  </si>
  <si>
    <t>29B2B2505012</t>
  </si>
  <si>
    <t>Anh Ba - Việt Phú</t>
  </si>
  <si>
    <t>29B2C2602004</t>
  </si>
  <si>
    <t>29B2C2601010</t>
  </si>
  <si>
    <t>THÁNG</t>
  </si>
  <si>
    <t>BU</t>
  </si>
  <si>
    <t>NHÂN VIÊN</t>
  </si>
  <si>
    <t>SỐ LEAD</t>
  </si>
  <si>
    <t>SỐ ĐƠN HÀNG</t>
  </si>
  <si>
    <t>DOANH SỐ</t>
  </si>
  <si>
    <t>VI PHẠM</t>
  </si>
  <si>
    <t>TỶ LỆ CHUYỂN ĐỔI</t>
  </si>
  <si>
    <t>TỶ TRỌNG DOANH SỐ</t>
  </si>
  <si>
    <t>HỆ SỐ KỶ LUẬT</t>
  </si>
  <si>
    <t>THÂM NIÊN</t>
  </si>
  <si>
    <t>ĐIỂM TÍN NHIỆM</t>
  </si>
  <si>
    <t>TỶ TRỌNG TÍN NHIỆM</t>
  </si>
  <si>
    <t>FFCOIN</t>
  </si>
  <si>
    <t>LEAD DỰ KIẾN</t>
  </si>
  <si>
    <t>(1)</t>
  </si>
  <si>
    <t>(2)</t>
  </si>
  <si>
    <t>(3)</t>
  </si>
  <si>
    <t>(4)</t>
  </si>
  <si>
    <t>(5) = (2) / (1)</t>
  </si>
  <si>
    <t>(6) = DS cá nhân/ Tổng công ty</t>
  </si>
  <si>
    <t>(7) =100% - (4)*5%</t>
  </si>
  <si>
    <t>(8)</t>
  </si>
  <si>
    <t>=[(5)*50+(6)*50]*(7)*(8)</t>
  </si>
  <si>
    <t>Quỹ hiệu suất</t>
  </si>
  <si>
    <t>Quỹ sinh tồn</t>
  </si>
  <si>
    <t>Tổng</t>
  </si>
  <si>
    <t>BU HCM</t>
  </si>
  <si>
    <t xml:space="preserve"> Nguyễn Thanh Bình</t>
  </si>
  <si>
    <t>Tổng BU</t>
  </si>
  <si>
    <t>Phạm Thanh Việt</t>
  </si>
  <si>
    <t>Nguyễn Đức Hội</t>
  </si>
  <si>
    <t>TỔNG</t>
  </si>
  <si>
    <t>Nhân sự</t>
  </si>
  <si>
    <t>Trạng thái</t>
  </si>
  <si>
    <t>Thời gian bắt đầu làm</t>
  </si>
  <si>
    <t>Thời gian bắt đầu nghỉ</t>
  </si>
  <si>
    <t xml:space="preserve"> Tháng 1 </t>
  </si>
  <si>
    <t xml:space="preserve"> Tháng 2 </t>
  </si>
  <si>
    <t xml:space="preserve"> Tháng 3 </t>
  </si>
  <si>
    <t xml:space="preserve"> Tháng 4 </t>
  </si>
  <si>
    <t xml:space="preserve"> Tháng 5 </t>
  </si>
  <si>
    <t xml:space="preserve"> Tháng 6 </t>
  </si>
  <si>
    <t xml:space="preserve"> Tháng 7</t>
  </si>
  <si>
    <t xml:space="preserve"> Tháng 8</t>
  </si>
  <si>
    <t xml:space="preserve"> Tháng 9</t>
  </si>
  <si>
    <t xml:space="preserve"> Tháng 10</t>
  </si>
  <si>
    <t xml:space="preserve"> Tháng 11</t>
  </si>
  <si>
    <t xml:space="preserve"> Tháng 12</t>
  </si>
  <si>
    <t>Đang làm việc</t>
  </si>
  <si>
    <t> </t>
  </si>
  <si>
    <t>Đã nghỉ</t>
  </si>
  <si>
    <t>Hà Thị Ngọc</t>
  </si>
  <si>
    <t>Năm 2026</t>
  </si>
  <si>
    <t>6 tháng đầu năm
01/01-30/06)</t>
  </si>
  <si>
    <t>Tháng 1</t>
  </si>
  <si>
    <t>Tháng 2</t>
  </si>
  <si>
    <t>Tháng 3</t>
  </si>
  <si>
    <t>Tháng 4</t>
  </si>
  <si>
    <t>Tháng 5</t>
  </si>
  <si>
    <t>Tháng 6</t>
  </si>
  <si>
    <t>Quý II</t>
  </si>
  <si>
    <t>Tháng 7</t>
  </si>
  <si>
    <t>Tháng 8</t>
  </si>
  <si>
    <t>Tháng 9</t>
  </si>
  <si>
    <t>Quý III</t>
  </si>
  <si>
    <t>Tháng 10</t>
  </si>
  <si>
    <t>Tháng 11</t>
  </si>
  <si>
    <t>Tháng 12</t>
  </si>
  <si>
    <t>Quý IV</t>
  </si>
  <si>
    <t>Báo cáo tuần</t>
  </si>
  <si>
    <t>1. Kết quả kinh doanh M4W3 (13-19/4): 140,76tr</t>
  </si>
  <si>
    <t xml:space="preserve"> Doanh số trước VAT</t>
  </si>
  <si>
    <t>Báo cáo tháng/quý</t>
  </si>
  <si>
    <t>2. Doanh số lũy kế Tháng 4: 7,36 tỷ</t>
  </si>
  <si>
    <t>KPI</t>
  </si>
  <si>
    <t>Tỷ lệ hoàn thành KPI</t>
  </si>
  <si>
    <t xml:space="preserve"> Gross Profit
(Tạm tính)</t>
  </si>
  <si>
    <t>KPI tháng QII</t>
  </si>
  <si>
    <t>Tỷ lệ Hoàn thành KPI</t>
  </si>
  <si>
    <t>3. Kết quả kinh doanh lũy kế năm 2026: 25.4 tỷ</t>
  </si>
  <si>
    <t xml:space="preserve"> Gross Profit
(Lợi nhuận gộp)</t>
  </si>
  <si>
    <t>(blank)</t>
  </si>
  <si>
    <t>Tháng</t>
  </si>
  <si>
    <t>Doanh số</t>
  </si>
  <si>
    <t>% Hoàn thành KPI</t>
  </si>
  <si>
    <t>Retail 1</t>
  </si>
  <si>
    <t>Retail 2</t>
  </si>
  <si>
    <t>Retail 3</t>
  </si>
  <si>
    <t>Retail 4</t>
  </si>
  <si>
    <t>Factory Sale</t>
  </si>
  <si>
    <t>KD-MN</t>
  </si>
  <si>
    <t>PTKD</t>
  </si>
  <si>
    <t>Đặng Kiều Trang</t>
  </si>
  <si>
    <t>Phòng ban/Nhân sự</t>
  </si>
  <si>
    <t>Số lượng HĐ Thiết kế</t>
  </si>
  <si>
    <t>Số lượng HĐ Thi công</t>
  </si>
  <si>
    <t>Số lượng hợp đồng khác</t>
  </si>
  <si>
    <t>Doanh số ghi nhận</t>
  </si>
  <si>
    <t>Số lượng HĐ chuyển đổi từ HĐ Khung (đã ghi nhận) sang Thi công</t>
  </si>
  <si>
    <t>Doanh số chuyển đổi từ Khung sang Thi công</t>
  </si>
  <si>
    <t>Tổng Doanh số tính cho Sale</t>
  </si>
  <si>
    <t>Số lượng HĐ ghi nhận cho Sale</t>
  </si>
  <si>
    <t>(A)</t>
  </si>
  <si>
    <t>(B)</t>
  </si>
  <si>
    <t>(C)</t>
  </si>
  <si>
    <t>(D)</t>
  </si>
  <si>
    <t>(E)</t>
  </si>
  <si>
    <t>(F)</t>
  </si>
  <si>
    <t>(G) = (D) + (F)</t>
  </si>
  <si>
    <t>(I) = (A) + (B) + (C) + (E)</t>
  </si>
  <si>
    <t>I</t>
  </si>
  <si>
    <t>II</t>
  </si>
  <si>
    <t>III</t>
  </si>
  <si>
    <t>Nguyễn Thị Vân</t>
  </si>
  <si>
    <t>IV</t>
  </si>
  <si>
    <t>Hồ Hằng</t>
  </si>
  <si>
    <t>V</t>
  </si>
  <si>
    <t>Số lượng đơn chuyển đổi từ HĐ Khung (đã ghi nhận) sang Thi công</t>
  </si>
  <si>
    <t>Số lượng đơn ghi nhận cho Sale</t>
  </si>
  <si>
    <t>(H) = (A) + (B) + (C) + (E)</t>
  </si>
  <si>
    <t>Doanh số ghi nhận chuyển đổi từ Khung sang Thi công</t>
  </si>
  <si>
    <t>Năm</t>
  </si>
  <si>
    <t>Số lượng HĐ Khung năm 2026 chưa chuyển đổi</t>
  </si>
  <si>
    <t>Doanh số ký Khung
(theo dõi, không ghi nhận)</t>
  </si>
  <si>
    <t>(G)</t>
  </si>
  <si>
    <t>(H)</t>
  </si>
  <si>
    <t>(I) = (E) + (H)</t>
  </si>
  <si>
    <t>(K) = (A) + (B) + (C) + (G)</t>
  </si>
  <si>
    <t xml:space="preserve">Tuần </t>
  </si>
  <si>
    <t>Nhân viên</t>
  </si>
  <si>
    <t>Tỷ lệ hoàn thành KPI (%)</t>
  </si>
  <si>
    <t>Nhóm kinh doanh</t>
  </si>
  <si>
    <t>Chi nhánh</t>
  </si>
  <si>
    <t>Khu vực</t>
  </si>
  <si>
    <t>Mã</t>
  </si>
  <si>
    <t>Vùng miền</t>
  </si>
  <si>
    <t>Dương Thị Thơm</t>
  </si>
  <si>
    <t>WHOLESALE</t>
  </si>
  <si>
    <t>Hội sở</t>
  </si>
  <si>
    <t>Miền Bắc</t>
  </si>
  <si>
    <t>Điện Biên</t>
  </si>
  <si>
    <t>anhtt@flexfit.vn</t>
  </si>
  <si>
    <t>Hải Dương</t>
  </si>
  <si>
    <t>sonhx@flexfit.vn</t>
  </si>
  <si>
    <t>Miền Trung</t>
  </si>
  <si>
    <t>Bình Thuận</t>
  </si>
  <si>
    <t>longdd1@flexfit.vn</t>
  </si>
  <si>
    <t>Vĩnh Phúc</t>
  </si>
  <si>
    <t>vietpt@flexfit.vn</t>
  </si>
  <si>
    <t>Gia Lai</t>
  </si>
  <si>
    <t>mailts@flexfit.vn</t>
  </si>
  <si>
    <t>Cao Bằng</t>
  </si>
  <si>
    <t>khanhpn@flexfit.vn</t>
  </si>
  <si>
    <t>khanhnkb@flexfit.vn</t>
  </si>
  <si>
    <t>Nguyễn Khoa Bảo Khánh</t>
  </si>
  <si>
    <t>Thái Bình</t>
  </si>
  <si>
    <t>thaidx@flexfit.vn</t>
  </si>
  <si>
    <t>TP HCM</t>
  </si>
  <si>
    <t>thanhnv@flexfit.vn</t>
  </si>
  <si>
    <t>Nguyễn Văn Thanh</t>
  </si>
  <si>
    <t>Ninh Bình</t>
  </si>
  <si>
    <t>Miền Nam</t>
  </si>
  <si>
    <t>Vũng Tàu</t>
  </si>
  <si>
    <t>HCM</t>
  </si>
  <si>
    <t>Sơn La</t>
  </si>
  <si>
    <t>duongnh@flexfit.vn</t>
  </si>
  <si>
    <t>Đắk Nông</t>
  </si>
  <si>
    <t>binhnt@flexfit.vn</t>
  </si>
  <si>
    <t>duongva@flexfit.vn</t>
  </si>
  <si>
    <t>Nguyễn Hữu Sơn</t>
  </si>
  <si>
    <t>Yên Bái</t>
  </si>
  <si>
    <t>Trần Thiên Minh</t>
  </si>
  <si>
    <t>Tuyên Quang</t>
  </si>
  <si>
    <t>Nghệ An</t>
  </si>
  <si>
    <t>Lai Châu</t>
  </si>
  <si>
    <t>Quảng Ninh</t>
  </si>
  <si>
    <t>Phạm Huyền Anh</t>
  </si>
  <si>
    <t>KẾ TOÁN</t>
  </si>
  <si>
    <t>Đoàn Thị Thảo</t>
  </si>
  <si>
    <t>Showroom Hải Dương</t>
  </si>
  <si>
    <t>Lạng Sơn</t>
  </si>
  <si>
    <t>Bắc Giang</t>
  </si>
  <si>
    <t>Hà Nam</t>
  </si>
  <si>
    <t>Lâm Đồng</t>
  </si>
  <si>
    <t>Thái Nguyên</t>
  </si>
  <si>
    <t>Thừa Thiên Huế</t>
  </si>
  <si>
    <t>Bình Dương</t>
  </si>
  <si>
    <t>Bình Phước</t>
  </si>
  <si>
    <t>Tây Ninh</t>
  </si>
  <si>
    <t>Cần Thơ</t>
  </si>
  <si>
    <t>Long An</t>
  </si>
  <si>
    <t>Tiền Giang</t>
  </si>
  <si>
    <t>Bến Tre</t>
  </si>
  <si>
    <t>Vĩnh Long</t>
  </si>
  <si>
    <t>Trà Vinh</t>
  </si>
  <si>
    <t>Đồng Tháp</t>
  </si>
  <si>
    <t>An Giang</t>
  </si>
  <si>
    <t>Kiên Giang</t>
  </si>
  <si>
    <t>Hậu Giang</t>
  </si>
  <si>
    <t>Sóc Trăng</t>
  </si>
  <si>
    <t>Bạc Liêu</t>
  </si>
  <si>
    <t>Cà Mau</t>
  </si>
  <si>
    <t>anh Tuấn Anh - Đông Trù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</si>
</sst>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-* #,##0.00\ _₫_-;\-* #,##0.00\ _₫_-;_-* &quot;-&quot;??\ _₫_-;_-@_-"/>
    <numFmt numFmtId="165" formatCode="_-* #,##0\ _₫_-;\-* #,##0\ _₫_-;_-* &quot;-&quot;??\ _₫_-;_-@_-"/>
    <numFmt numFmtId="166" formatCode="_-* #,##0_-;\-* #,##0_-;_-* &quot;-&quot;??_-;_-@_-"/>
    <numFmt numFmtId="167" formatCode="_(* #,##0_);_(* \(#,##0\);_(* &quot;-&quot;??_);_(@_)"/>
    <numFmt numFmtId="168" formatCode="dd\/mm\/yyyy"/>
  </numFmts>
  <fonts count="30" x14ac:knownFonts="1"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2"/>
      <color rgb="FF000000"/>
      <name val="Times New Roman"/>
      <family val="1"/>
    </font>
    <font>
      <sz val="11"/>
      <color theme="1"/>
      <name val="Times New Roman"/>
      <family val="1"/>
    </font>
    <font>
      <u/>
      <sz val="11"/>
      <color theme="10"/>
      <name val="Arial"/>
      <family val="2"/>
      <charset val="163"/>
      <scheme val="minor"/>
    </font>
    <font>
      <sz val="11"/>
      <color rgb="FF000000"/>
      <name val="Times New Roman"/>
    </font>
    <font>
      <sz val="12"/>
      <color theme="1"/>
      <name val="Times New Roman"/>
    </font>
    <font>
      <b/>
      <sz val="12"/>
      <color theme="1"/>
      <name val="Times New Roman"/>
    </font>
    <font>
      <b/>
      <sz val="12"/>
      <color rgb="FF000000"/>
      <name val="Times New Roman"/>
    </font>
    <font>
      <sz val="12"/>
      <color rgb="FF000000"/>
      <name val="Times New Roman"/>
    </font>
    <font>
      <b/>
      <sz val="11"/>
      <color theme="1"/>
      <name val="Times New Roman"/>
    </font>
    <font>
      <b/>
      <sz val="11"/>
      <color rgb="FFFF0000"/>
      <name val="Times New Roman"/>
    </font>
    <font>
      <sz val="11"/>
      <color theme="1"/>
      <name val="Times New Roman"/>
    </font>
    <font>
      <b/>
      <sz val="11"/>
      <color rgb="FF0070C0"/>
      <name val="Times New Roman"/>
    </font>
    <font>
      <b/>
      <sz val="11"/>
      <color theme="0"/>
      <name val="Times New Roman"/>
    </font>
    <font>
      <b/>
      <sz val="11"/>
      <color theme="9" tint="-0.499984740745262"/>
      <name val="Times New Roman"/>
    </font>
    <font>
      <b/>
      <sz val="11"/>
      <color rgb="FF000000"/>
      <name val="Times New Roman"/>
    </font>
    <font>
      <b/>
      <sz val="11"/>
      <color theme="1"/>
      <name val="Arial"/>
      <family val="2"/>
      <charset val="163"/>
      <scheme val="minor"/>
    </font>
    <font>
      <b/>
      <sz val="13"/>
      <color rgb="FF000000"/>
      <name val="Times New Roman"/>
      <charset val="1"/>
    </font>
    <font>
      <b/>
      <sz val="13"/>
      <color rgb="FF000000"/>
      <name val="Times New Roman"/>
      <family val="1"/>
    </font>
    <font>
      <sz val="13"/>
      <color rgb="FF000000"/>
      <name val="Times New Roman"/>
      <family val="1"/>
    </font>
    <font>
      <sz val="13"/>
      <color theme="1"/>
      <name val="Times New Roman"/>
    </font>
    <font>
      <b/>
      <sz val="13"/>
      <color theme="1"/>
      <name val="Times New Roman"/>
    </font>
    <font>
      <b/>
      <sz val="13"/>
      <color rgb="FFFF0000"/>
      <name val="Times New Roman"/>
    </font>
    <font>
      <sz val="11"/>
      <color rgb="FF000000"/>
      <name val="Times New Roman"/>
      <charset val="1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2EFDA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theme="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5" fillId="0" borderId="0"/>
    <xf numFmtId="0" fontId="9" fillId="0" borderId="0" applyNumberFormat="0" applyFill="0" applyBorder="0" applyAlignment="0" applyProtection="0"/>
  </cellStyleXfs>
  <cellXfs count="361">
    <xf numFmtId="0" fontId="0" fillId="0" borderId="0" xfId="0"/>
    <xf numFmtId="0" fontId="3" fillId="2" borderId="1" xfId="2" applyFont="1" applyFill="1" applyBorder="1"/>
    <xf numFmtId="0" fontId="2" fillId="0" borderId="0" xfId="2"/>
    <xf numFmtId="0" fontId="2" fillId="0" borderId="1" xfId="2" applyBorder="1"/>
    <xf numFmtId="0" fontId="6" fillId="0" borderId="0" xfId="2" applyFont="1"/>
    <xf numFmtId="0" fontId="2" fillId="0" borderId="4" xfId="2" applyBorder="1"/>
    <xf numFmtId="0" fontId="5" fillId="0" borderId="0" xfId="2" applyFont="1" applyAlignment="1">
      <alignment wrapText="1"/>
    </xf>
    <xf numFmtId="0" fontId="8" fillId="0" borderId="1" xfId="2" applyFont="1" applyBorder="1" applyAlignment="1">
      <alignment horizontal="center" vertical="center"/>
    </xf>
    <xf numFmtId="0" fontId="8" fillId="3" borderId="1" xfId="2" applyFont="1" applyFill="1" applyBorder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0" fontId="8" fillId="6" borderId="1" xfId="2" applyFont="1" applyFill="1" applyBorder="1" applyAlignment="1">
      <alignment horizontal="center" vertical="center"/>
    </xf>
    <xf numFmtId="0" fontId="8" fillId="3" borderId="1" xfId="2" applyFont="1" applyFill="1" applyBorder="1" applyAlignment="1">
      <alignment horizontal="center" vertical="center"/>
    </xf>
    <xf numFmtId="0" fontId="8" fillId="0" borderId="1" xfId="2" applyFont="1" applyBorder="1" applyAlignment="1">
      <alignment horizontal="center" vertical="center" wrapText="1"/>
    </xf>
    <xf numFmtId="166" fontId="8" fillId="0" borderId="1" xfId="3" applyNumberFormat="1" applyFont="1" applyFill="1" applyBorder="1" applyAlignment="1">
      <alignment horizontal="center" vertical="center"/>
    </xf>
    <xf numFmtId="0" fontId="1" fillId="0" borderId="0" xfId="0" applyFont="1"/>
    <xf numFmtId="0" fontId="4" fillId="0" borderId="0" xfId="2" applyFont="1" applyAlignment="1">
      <alignment horizontal="center" vertical="center"/>
    </xf>
    <xf numFmtId="0" fontId="8" fillId="6" borderId="0" xfId="2" applyFont="1" applyFill="1" applyAlignment="1">
      <alignment horizontal="center" vertical="center"/>
    </xf>
    <xf numFmtId="167" fontId="8" fillId="0" borderId="0" xfId="2" applyNumberFormat="1" applyFont="1" applyAlignment="1">
      <alignment horizontal="center" vertical="center"/>
    </xf>
    <xf numFmtId="166" fontId="8" fillId="0" borderId="0" xfId="3" applyNumberFormat="1" applyFont="1" applyFill="1" applyAlignment="1">
      <alignment horizontal="center" vertical="center"/>
    </xf>
    <xf numFmtId="0" fontId="8" fillId="3" borderId="0" xfId="2" applyFont="1" applyFill="1" applyAlignment="1">
      <alignment horizontal="center" vertical="center"/>
    </xf>
    <xf numFmtId="0" fontId="8" fillId="6" borderId="2" xfId="2" applyFont="1" applyFill="1" applyBorder="1" applyAlignment="1">
      <alignment horizontal="center" vertical="center"/>
    </xf>
    <xf numFmtId="0" fontId="8" fillId="0" borderId="2" xfId="2" applyFont="1" applyBorder="1" applyAlignment="1">
      <alignment horizontal="center" vertical="center"/>
    </xf>
    <xf numFmtId="0" fontId="8" fillId="6" borderId="3" xfId="2" applyFont="1" applyFill="1" applyBorder="1" applyAlignment="1">
      <alignment horizontal="center" vertical="center"/>
    </xf>
    <xf numFmtId="0" fontId="8" fillId="0" borderId="3" xfId="2" applyFont="1" applyBorder="1" applyAlignment="1">
      <alignment horizontal="center" vertical="center"/>
    </xf>
    <xf numFmtId="166" fontId="8" fillId="0" borderId="3" xfId="3" applyNumberFormat="1" applyFont="1" applyFill="1" applyBorder="1" applyAlignment="1">
      <alignment horizontal="center" vertical="center"/>
    </xf>
    <xf numFmtId="0" fontId="8" fillId="6" borderId="3" xfId="2" applyFont="1" applyFill="1" applyBorder="1" applyAlignment="1">
      <alignment horizontal="center" vertical="center" wrapText="1"/>
    </xf>
    <xf numFmtId="0" fontId="8" fillId="0" borderId="3" xfId="2" applyFont="1" applyBorder="1" applyAlignment="1">
      <alignment horizontal="center" vertical="center" wrapText="1"/>
    </xf>
    <xf numFmtId="166" fontId="8" fillId="0" borderId="3" xfId="3" applyNumberFormat="1" applyFont="1" applyFill="1" applyBorder="1" applyAlignment="1">
      <alignment horizontal="center" vertical="center" wrapText="1"/>
    </xf>
    <xf numFmtId="0" fontId="8" fillId="0" borderId="0" xfId="2" applyFont="1" applyAlignment="1">
      <alignment horizontal="center" vertical="center" wrapText="1"/>
    </xf>
    <xf numFmtId="168" fontId="8" fillId="0" borderId="1" xfId="2" applyNumberFormat="1" applyFont="1" applyBorder="1" applyAlignment="1">
      <alignment horizontal="center" vertical="center"/>
    </xf>
    <xf numFmtId="164" fontId="8" fillId="0" borderId="3" xfId="1" applyFont="1" applyBorder="1" applyAlignment="1">
      <alignment horizontal="center" vertical="center"/>
    </xf>
    <xf numFmtId="14" fontId="8" fillId="0" borderId="1" xfId="2" applyNumberFormat="1" applyFont="1" applyBorder="1" applyAlignment="1">
      <alignment horizontal="center" vertical="center"/>
    </xf>
    <xf numFmtId="0" fontId="8" fillId="6" borderId="5" xfId="2" applyFont="1" applyFill="1" applyBorder="1" applyAlignment="1">
      <alignment horizontal="center" vertical="center"/>
    </xf>
    <xf numFmtId="0" fontId="8" fillId="0" borderId="5" xfId="2" applyFont="1" applyBorder="1" applyAlignment="1">
      <alignment horizontal="center" vertical="center" wrapText="1"/>
    </xf>
    <xf numFmtId="0" fontId="8" fillId="0" borderId="5" xfId="2" applyFont="1" applyBorder="1" applyAlignment="1">
      <alignment horizontal="center" vertical="center"/>
    </xf>
    <xf numFmtId="167" fontId="8" fillId="0" borderId="1" xfId="2" applyNumberFormat="1" applyFont="1" applyBorder="1" applyAlignment="1">
      <alignment horizontal="center" vertical="center"/>
    </xf>
    <xf numFmtId="166" fontId="8" fillId="0" borderId="5" xfId="3" applyNumberFormat="1" applyFont="1" applyFill="1" applyBorder="1" applyAlignment="1">
      <alignment horizontal="center" vertical="center"/>
    </xf>
    <xf numFmtId="3" fontId="8" fillId="0" borderId="1" xfId="2" applyNumberFormat="1" applyFont="1" applyBorder="1" applyAlignment="1">
      <alignment horizontal="center" vertical="center"/>
    </xf>
    <xf numFmtId="0" fontId="8" fillId="0" borderId="2" xfId="2" applyFont="1" applyBorder="1" applyAlignment="1">
      <alignment horizontal="center" vertical="center" wrapText="1"/>
    </xf>
    <xf numFmtId="3" fontId="8" fillId="0" borderId="2" xfId="2" applyNumberFormat="1" applyFont="1" applyBorder="1" applyAlignment="1">
      <alignment horizontal="center" vertical="center"/>
    </xf>
    <xf numFmtId="3" fontId="8" fillId="0" borderId="3" xfId="2" applyNumberFormat="1" applyFont="1" applyBorder="1" applyAlignment="1">
      <alignment horizontal="center" vertical="center"/>
    </xf>
    <xf numFmtId="0" fontId="4" fillId="8" borderId="1" xfId="2" applyFont="1" applyFill="1" applyBorder="1" applyAlignment="1">
      <alignment horizontal="center" vertical="center"/>
    </xf>
    <xf numFmtId="0" fontId="4" fillId="8" borderId="1" xfId="2" applyFont="1" applyFill="1" applyBorder="1" applyAlignment="1">
      <alignment horizontal="center" vertical="center" wrapText="1"/>
    </xf>
    <xf numFmtId="167" fontId="4" fillId="8" borderId="1" xfId="2" applyNumberFormat="1" applyFont="1" applyFill="1" applyBorder="1" applyAlignment="1">
      <alignment horizontal="center" vertical="center"/>
    </xf>
    <xf numFmtId="166" fontId="4" fillId="8" borderId="1" xfId="3" applyNumberFormat="1" applyFont="1" applyFill="1" applyBorder="1" applyAlignment="1">
      <alignment horizontal="center" vertical="center"/>
    </xf>
    <xf numFmtId="0" fontId="8" fillId="0" borderId="1" xfId="2" applyFont="1" applyBorder="1" applyAlignment="1">
      <alignment horizontal="left" vertical="center"/>
    </xf>
    <xf numFmtId="14" fontId="4" fillId="8" borderId="1" xfId="2" applyNumberFormat="1" applyFont="1" applyFill="1" applyBorder="1" applyAlignment="1">
      <alignment horizontal="center" vertical="center"/>
    </xf>
    <xf numFmtId="0" fontId="2" fillId="3" borderId="1" xfId="2" applyFill="1" applyBorder="1"/>
    <xf numFmtId="0" fontId="6" fillId="0" borderId="1" xfId="2" applyFont="1" applyBorder="1"/>
    <xf numFmtId="0" fontId="8" fillId="6" borderId="6" xfId="2" applyFont="1" applyFill="1" applyBorder="1" applyAlignment="1">
      <alignment horizontal="center" vertical="center"/>
    </xf>
    <xf numFmtId="0" fontId="8" fillId="6" borderId="1" xfId="2" applyFont="1" applyFill="1" applyBorder="1" applyAlignment="1">
      <alignment horizontal="center" vertical="center" wrapText="1"/>
    </xf>
    <xf numFmtId="3" fontId="8" fillId="0" borderId="1" xfId="2" applyNumberFormat="1" applyFont="1" applyBorder="1" applyAlignment="1">
      <alignment horizontal="center" vertical="center" wrapText="1"/>
    </xf>
    <xf numFmtId="0" fontId="5" fillId="4" borderId="1" xfId="2" applyFont="1" applyFill="1" applyBorder="1"/>
    <xf numFmtId="0" fontId="5" fillId="0" borderId="1" xfId="2" applyFont="1" applyBorder="1"/>
    <xf numFmtId="0" fontId="7" fillId="0" borderId="1" xfId="2" applyFont="1" applyBorder="1" applyAlignment="1">
      <alignment wrapText="1"/>
    </xf>
    <xf numFmtId="0" fontId="10" fillId="0" borderId="0" xfId="0" applyFont="1" applyAlignment="1">
      <alignment wrapText="1"/>
    </xf>
    <xf numFmtId="0" fontId="3" fillId="2" borderId="4" xfId="2" applyFont="1" applyFill="1" applyBorder="1"/>
    <xf numFmtId="0" fontId="2" fillId="3" borderId="4" xfId="2" applyFill="1" applyBorder="1"/>
    <xf numFmtId="0" fontId="9" fillId="3" borderId="1" xfId="5" applyFill="1" applyBorder="1"/>
    <xf numFmtId="0" fontId="9" fillId="3" borderId="1" xfId="5" applyFill="1" applyBorder="1" applyAlignment="1">
      <alignment wrapText="1"/>
    </xf>
    <xf numFmtId="0" fontId="0" fillId="0" borderId="1" xfId="0" applyBorder="1" applyAlignment="1">
      <alignment horizontal="left"/>
    </xf>
    <xf numFmtId="166" fontId="4" fillId="0" borderId="1" xfId="3" applyNumberFormat="1" applyFont="1" applyFill="1" applyBorder="1" applyAlignment="1">
      <alignment horizontal="center" vertical="center"/>
    </xf>
    <xf numFmtId="165" fontId="0" fillId="0" borderId="1" xfId="0" applyNumberFormat="1" applyBorder="1"/>
    <xf numFmtId="166" fontId="8" fillId="0" borderId="1" xfId="2" applyNumberFormat="1" applyFont="1" applyBorder="1" applyAlignment="1">
      <alignment horizontal="center" vertical="center"/>
    </xf>
    <xf numFmtId="165" fontId="8" fillId="0" borderId="1" xfId="2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165" fontId="3" fillId="2" borderId="1" xfId="0" applyNumberFormat="1" applyFont="1" applyFill="1" applyBorder="1"/>
    <xf numFmtId="167" fontId="8" fillId="0" borderId="2" xfId="2" applyNumberFormat="1" applyFont="1" applyBorder="1" applyAlignment="1">
      <alignment horizontal="center" vertical="center"/>
    </xf>
    <xf numFmtId="166" fontId="8" fillId="0" borderId="2" xfId="3" applyNumberFormat="1" applyFont="1" applyFill="1" applyBorder="1" applyAlignment="1">
      <alignment horizontal="center" vertical="center"/>
    </xf>
    <xf numFmtId="0" fontId="8" fillId="3" borderId="2" xfId="2" applyFont="1" applyFill="1" applyBorder="1" applyAlignment="1">
      <alignment horizontal="center" vertical="center"/>
    </xf>
    <xf numFmtId="167" fontId="8" fillId="7" borderId="1" xfId="2" applyNumberFormat="1" applyFont="1" applyFill="1" applyBorder="1" applyAlignment="1">
      <alignment horizontal="center" vertical="center"/>
    </xf>
    <xf numFmtId="14" fontId="8" fillId="5" borderId="1" xfId="2" applyNumberFormat="1" applyFont="1" applyFill="1" applyBorder="1" applyAlignment="1">
      <alignment horizontal="center" vertical="center"/>
    </xf>
    <xf numFmtId="14" fontId="8" fillId="0" borderId="3" xfId="2" applyNumberFormat="1" applyFont="1" applyBorder="1" applyAlignment="1">
      <alignment horizontal="center" vertical="center"/>
    </xf>
    <xf numFmtId="14" fontId="8" fillId="0" borderId="2" xfId="2" applyNumberFormat="1" applyFont="1" applyBorder="1" applyAlignment="1">
      <alignment horizontal="center" vertical="center"/>
    </xf>
    <xf numFmtId="14" fontId="8" fillId="0" borderId="0" xfId="2" applyNumberFormat="1" applyFont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43" fontId="13" fillId="0" borderId="8" xfId="0" applyNumberFormat="1" applyFont="1" applyBorder="1" applyAlignment="1">
      <alignment horizontal="center" vertical="center"/>
    </xf>
    <xf numFmtId="43" fontId="14" fillId="0" borderId="9" xfId="0" applyNumberFormat="1" applyFont="1" applyBorder="1" applyAlignment="1">
      <alignment horizontal="center" vertical="center"/>
    </xf>
    <xf numFmtId="0" fontId="8" fillId="7" borderId="0" xfId="2" applyFont="1" applyFill="1" applyAlignment="1">
      <alignment horizontal="center" vertical="center"/>
    </xf>
    <xf numFmtId="0" fontId="8" fillId="7" borderId="1" xfId="2" applyFont="1" applyFill="1" applyBorder="1" applyAlignment="1">
      <alignment horizontal="center" vertical="center" wrapText="1"/>
    </xf>
    <xf numFmtId="0" fontId="1" fillId="0" borderId="1" xfId="0" applyFont="1" applyBorder="1"/>
    <xf numFmtId="0" fontId="8" fillId="7" borderId="1" xfId="2" applyFont="1" applyFill="1" applyBorder="1" applyAlignment="1">
      <alignment horizontal="center" vertical="center"/>
    </xf>
    <xf numFmtId="0" fontId="8" fillId="3" borderId="4" xfId="2" applyFont="1" applyFill="1" applyBorder="1" applyAlignment="1">
      <alignment horizontal="center" vertical="center" wrapText="1"/>
    </xf>
    <xf numFmtId="0" fontId="8" fillId="3" borderId="4" xfId="2" applyFont="1" applyFill="1" applyBorder="1" applyAlignment="1">
      <alignment horizontal="center" vertical="center"/>
    </xf>
    <xf numFmtId="0" fontId="8" fillId="3" borderId="10" xfId="2" applyFont="1" applyFill="1" applyBorder="1" applyAlignment="1">
      <alignment horizontal="center" vertical="center"/>
    </xf>
    <xf numFmtId="0" fontId="4" fillId="8" borderId="2" xfId="2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7" fillId="0" borderId="0" xfId="0" applyFont="1"/>
    <xf numFmtId="166" fontId="17" fillId="0" borderId="0" xfId="0" applyNumberFormat="1" applyFont="1"/>
    <xf numFmtId="0" fontId="15" fillId="0" borderId="0" xfId="0" applyFont="1"/>
    <xf numFmtId="166" fontId="15" fillId="0" borderId="0" xfId="0" applyNumberFormat="1" applyFont="1"/>
    <xf numFmtId="0" fontId="18" fillId="0" borderId="0" xfId="0" applyFont="1"/>
    <xf numFmtId="0" fontId="17" fillId="0" borderId="1" xfId="0" applyFont="1" applyBorder="1" applyAlignment="1">
      <alignment horizontal="center"/>
    </xf>
    <xf numFmtId="0" fontId="17" fillId="0" borderId="1" xfId="0" applyFont="1" applyBorder="1"/>
    <xf numFmtId="166" fontId="17" fillId="0" borderId="1" xfId="0" applyNumberFormat="1" applyFont="1" applyBorder="1"/>
    <xf numFmtId="0" fontId="15" fillId="0" borderId="1" xfId="0" applyFont="1" applyBorder="1" applyAlignment="1">
      <alignment horizontal="center"/>
    </xf>
    <xf numFmtId="166" fontId="19" fillId="9" borderId="1" xfId="0" applyNumberFormat="1" applyFont="1" applyFill="1" applyBorder="1" applyAlignment="1">
      <alignment vertical="center"/>
    </xf>
    <xf numFmtId="9" fontId="19" fillId="9" borderId="1" xfId="0" applyNumberFormat="1" applyFont="1" applyFill="1" applyBorder="1" applyAlignment="1">
      <alignment vertical="center"/>
    </xf>
    <xf numFmtId="0" fontId="19" fillId="9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166" fontId="19" fillId="9" borderId="1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9" fontId="17" fillId="10" borderId="1" xfId="0" applyNumberFormat="1" applyFont="1" applyFill="1" applyBorder="1"/>
    <xf numFmtId="0" fontId="20" fillId="10" borderId="1" xfId="0" applyFont="1" applyFill="1" applyBorder="1" applyAlignment="1">
      <alignment horizontal="center" vertical="center" wrapText="1"/>
    </xf>
    <xf numFmtId="0" fontId="17" fillId="10" borderId="1" xfId="0" applyFont="1" applyFill="1" applyBorder="1"/>
    <xf numFmtId="49" fontId="19" fillId="9" borderId="1" xfId="0" applyNumberFormat="1" applyFont="1" applyFill="1" applyBorder="1" applyAlignment="1">
      <alignment horizontal="center" vertical="center" wrapText="1"/>
    </xf>
    <xf numFmtId="49" fontId="20" fillId="10" borderId="1" xfId="0" applyNumberFormat="1" applyFont="1" applyFill="1" applyBorder="1" applyAlignment="1">
      <alignment horizontal="center" vertical="center" wrapText="1"/>
    </xf>
    <xf numFmtId="49" fontId="20" fillId="10" borderId="1" xfId="0" quotePrefix="1" applyNumberFormat="1" applyFont="1" applyFill="1" applyBorder="1" applyAlignment="1">
      <alignment horizontal="center" vertical="center" wrapText="1"/>
    </xf>
    <xf numFmtId="0" fontId="21" fillId="11" borderId="1" xfId="0" applyFont="1" applyFill="1" applyBorder="1" applyAlignment="1">
      <alignment horizontal="center" vertical="center" wrapText="1"/>
    </xf>
    <xf numFmtId="49" fontId="21" fillId="11" borderId="1" xfId="0" quotePrefix="1" applyNumberFormat="1" applyFont="1" applyFill="1" applyBorder="1" applyAlignment="1">
      <alignment horizontal="center" vertical="center" wrapText="1"/>
    </xf>
    <xf numFmtId="1" fontId="10" fillId="11" borderId="1" xfId="0" applyNumberFormat="1" applyFont="1" applyFill="1" applyBorder="1"/>
    <xf numFmtId="0" fontId="19" fillId="9" borderId="4" xfId="0" applyFont="1" applyFill="1" applyBorder="1" applyAlignment="1">
      <alignment horizontal="center" vertical="center" wrapText="1"/>
    </xf>
    <xf numFmtId="49" fontId="19" fillId="9" borderId="4" xfId="0" applyNumberFormat="1" applyFont="1" applyFill="1" applyBorder="1" applyAlignment="1">
      <alignment horizontal="center" vertical="center" wrapText="1"/>
    </xf>
    <xf numFmtId="9" fontId="17" fillId="0" borderId="4" xfId="0" applyNumberFormat="1" applyFont="1" applyBorder="1"/>
    <xf numFmtId="0" fontId="19" fillId="9" borderId="4" xfId="0" applyFont="1" applyFill="1" applyBorder="1" applyAlignment="1">
      <alignment vertical="center"/>
    </xf>
    <xf numFmtId="0" fontId="15" fillId="12" borderId="1" xfId="0" applyFont="1" applyFill="1" applyBorder="1"/>
    <xf numFmtId="9" fontId="15" fillId="12" borderId="1" xfId="0" applyNumberFormat="1" applyFont="1" applyFill="1" applyBorder="1"/>
    <xf numFmtId="1" fontId="21" fillId="12" borderId="1" xfId="0" applyNumberFormat="1" applyFont="1" applyFill="1" applyBorder="1"/>
    <xf numFmtId="9" fontId="15" fillId="12" borderId="4" xfId="0" applyNumberFormat="1" applyFont="1" applyFill="1" applyBorder="1"/>
    <xf numFmtId="166" fontId="15" fillId="12" borderId="1" xfId="0" applyNumberFormat="1" applyFont="1" applyFill="1" applyBorder="1"/>
    <xf numFmtId="166" fontId="21" fillId="12" borderId="1" xfId="0" applyNumberFormat="1" applyFont="1" applyFill="1" applyBorder="1"/>
    <xf numFmtId="14" fontId="8" fillId="0" borderId="6" xfId="2" applyNumberFormat="1" applyFont="1" applyBorder="1" applyAlignment="1">
      <alignment horizontal="center" vertical="center"/>
    </xf>
    <xf numFmtId="0" fontId="8" fillId="0" borderId="8" xfId="2" applyFont="1" applyBorder="1" applyAlignment="1">
      <alignment horizontal="center" vertical="center"/>
    </xf>
    <xf numFmtId="0" fontId="0" fillId="7" borderId="0" xfId="0" applyFill="1"/>
    <xf numFmtId="0" fontId="0" fillId="7" borderId="1" xfId="0" applyFill="1" applyBorder="1"/>
    <xf numFmtId="166" fontId="0" fillId="7" borderId="1" xfId="0" applyNumberFormat="1" applyFill="1" applyBorder="1"/>
    <xf numFmtId="0" fontId="15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vertical="center"/>
    </xf>
    <xf numFmtId="0" fontId="22" fillId="7" borderId="0" xfId="0" applyFont="1" applyFill="1"/>
    <xf numFmtId="0" fontId="17" fillId="7" borderId="1" xfId="0" applyFont="1" applyFill="1" applyBorder="1" applyAlignment="1">
      <alignment vertical="center"/>
    </xf>
    <xf numFmtId="166" fontId="17" fillId="7" borderId="1" xfId="0" applyNumberFormat="1" applyFont="1" applyFill="1" applyBorder="1" applyAlignment="1">
      <alignment vertical="center"/>
    </xf>
    <xf numFmtId="0" fontId="17" fillId="7" borderId="2" xfId="0" applyFont="1" applyFill="1" applyBorder="1" applyAlignment="1">
      <alignment vertical="center"/>
    </xf>
    <xf numFmtId="0" fontId="15" fillId="13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vertical="center"/>
    </xf>
    <xf numFmtId="3" fontId="8" fillId="0" borderId="0" xfId="2" applyNumberFormat="1" applyFont="1" applyAlignment="1">
      <alignment horizontal="center" vertical="center"/>
    </xf>
    <xf numFmtId="3" fontId="8" fillId="0" borderId="5" xfId="2" applyNumberFormat="1" applyFont="1" applyBorder="1" applyAlignment="1">
      <alignment horizontal="center" vertical="center"/>
    </xf>
    <xf numFmtId="166" fontId="15" fillId="13" borderId="1" xfId="0" applyNumberFormat="1" applyFont="1" applyFill="1" applyBorder="1" applyAlignment="1">
      <alignment vertical="center"/>
    </xf>
    <xf numFmtId="0" fontId="15" fillId="7" borderId="1" xfId="0" applyFont="1" applyFill="1" applyBorder="1" applyAlignment="1">
      <alignment horizontal="center" vertical="center" wrapText="1"/>
    </xf>
    <xf numFmtId="166" fontId="15" fillId="5" borderId="1" xfId="0" applyNumberFormat="1" applyFont="1" applyFill="1" applyBorder="1" applyAlignment="1">
      <alignment vertical="center"/>
    </xf>
    <xf numFmtId="0" fontId="15" fillId="13" borderId="1" xfId="0" applyFont="1" applyFill="1" applyBorder="1" applyAlignment="1">
      <alignment horizontal="right" vertical="center"/>
    </xf>
    <xf numFmtId="41" fontId="17" fillId="7" borderId="1" xfId="0" applyNumberFormat="1" applyFont="1" applyFill="1" applyBorder="1" applyAlignment="1">
      <alignment horizontal="right" vertical="center"/>
    </xf>
    <xf numFmtId="0" fontId="15" fillId="5" borderId="1" xfId="0" applyFont="1" applyFill="1" applyBorder="1" applyAlignment="1">
      <alignment horizontal="right" vertical="center"/>
    </xf>
    <xf numFmtId="0" fontId="17" fillId="7" borderId="1" xfId="2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5" fillId="8" borderId="1" xfId="2" applyFont="1" applyFill="1" applyBorder="1" applyAlignment="1">
      <alignment horizontal="center" vertical="center"/>
    </xf>
    <xf numFmtId="0" fontId="15" fillId="8" borderId="1" xfId="2" applyFont="1" applyFill="1" applyBorder="1" applyAlignment="1">
      <alignment horizontal="center" vertical="center" wrapText="1"/>
    </xf>
    <xf numFmtId="14" fontId="15" fillId="8" borderId="1" xfId="2" applyNumberFormat="1" applyFont="1" applyFill="1" applyBorder="1" applyAlignment="1">
      <alignment horizontal="center" vertical="center"/>
    </xf>
    <xf numFmtId="166" fontId="15" fillId="8" borderId="1" xfId="3" applyNumberFormat="1" applyFont="1" applyFill="1" applyBorder="1" applyAlignment="1">
      <alignment horizontal="center" vertical="center"/>
    </xf>
    <xf numFmtId="167" fontId="15" fillId="8" borderId="1" xfId="2" applyNumberFormat="1" applyFont="1" applyFill="1" applyBorder="1" applyAlignment="1">
      <alignment horizontal="center" vertical="center"/>
    </xf>
    <xf numFmtId="0" fontId="17" fillId="0" borderId="1" xfId="2" applyFont="1" applyBorder="1" applyAlignment="1">
      <alignment horizontal="center" vertical="center"/>
    </xf>
    <xf numFmtId="14" fontId="17" fillId="0" borderId="1" xfId="2" applyNumberFormat="1" applyFont="1" applyBorder="1" applyAlignment="1">
      <alignment horizontal="center" vertical="center"/>
    </xf>
    <xf numFmtId="0" fontId="17" fillId="0" borderId="1" xfId="2" applyFont="1" applyBorder="1" applyAlignment="1">
      <alignment horizontal="center" vertical="center" wrapText="1"/>
    </xf>
    <xf numFmtId="167" fontId="17" fillId="0" borderId="1" xfId="2" applyNumberFormat="1" applyFont="1" applyBorder="1" applyAlignment="1">
      <alignment horizontal="center" vertical="center"/>
    </xf>
    <xf numFmtId="167" fontId="17" fillId="7" borderId="1" xfId="2" applyNumberFormat="1" applyFont="1" applyFill="1" applyBorder="1" applyAlignment="1">
      <alignment horizontal="center" vertical="center"/>
    </xf>
    <xf numFmtId="166" fontId="17" fillId="0" borderId="1" xfId="3" applyNumberFormat="1" applyFont="1" applyFill="1" applyBorder="1" applyAlignment="1">
      <alignment horizontal="center" vertical="center"/>
    </xf>
    <xf numFmtId="0" fontId="17" fillId="3" borderId="1" xfId="2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5" fillId="8" borderId="4" xfId="2" applyFont="1" applyFill="1" applyBorder="1" applyAlignment="1">
      <alignment horizontal="center" vertical="center"/>
    </xf>
    <xf numFmtId="0" fontId="17" fillId="7" borderId="4" xfId="2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/>
    </xf>
    <xf numFmtId="0" fontId="15" fillId="0" borderId="1" xfId="2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6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6" fontId="0" fillId="7" borderId="0" xfId="0" applyNumberFormat="1" applyFill="1"/>
    <xf numFmtId="0" fontId="0" fillId="0" borderId="1" xfId="0" pivotButton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1" fontId="17" fillId="7" borderId="1" xfId="0" applyNumberFormat="1" applyFont="1" applyFill="1" applyBorder="1" applyAlignment="1">
      <alignment horizontal="right" vertical="center" wrapText="1"/>
    </xf>
    <xf numFmtId="166" fontId="15" fillId="13" borderId="1" xfId="0" applyNumberFormat="1" applyFont="1" applyFill="1" applyBorder="1" applyAlignment="1">
      <alignment horizontal="right" vertical="center"/>
    </xf>
    <xf numFmtId="0" fontId="17" fillId="3" borderId="4" xfId="2" applyFont="1" applyFill="1" applyBorder="1" applyAlignment="1">
      <alignment horizontal="center" vertical="center" wrapText="1"/>
    </xf>
    <xf numFmtId="14" fontId="17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5" fillId="14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 wrapText="1"/>
    </xf>
    <xf numFmtId="0" fontId="23" fillId="7" borderId="0" xfId="0" applyFont="1" applyFill="1" applyAlignment="1">
      <alignment readingOrder="1"/>
    </xf>
    <xf numFmtId="0" fontId="24" fillId="7" borderId="0" xfId="0" applyFont="1" applyFill="1"/>
    <xf numFmtId="0" fontId="23" fillId="7" borderId="0" xfId="0" applyFont="1" applyFill="1"/>
    <xf numFmtId="0" fontId="8" fillId="0" borderId="4" xfId="2" applyFont="1" applyBorder="1" applyAlignment="1">
      <alignment horizontal="center" vertical="center"/>
    </xf>
    <xf numFmtId="166" fontId="17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vertical="center"/>
    </xf>
    <xf numFmtId="166" fontId="14" fillId="0" borderId="4" xfId="0" applyNumberFormat="1" applyFont="1" applyBorder="1" applyAlignment="1">
      <alignment vertical="center"/>
    </xf>
    <xf numFmtId="0" fontId="14" fillId="0" borderId="4" xfId="0" applyFont="1" applyBorder="1" applyAlignment="1">
      <alignment vertical="center" wrapText="1"/>
    </xf>
    <xf numFmtId="9" fontId="14" fillId="0" borderId="1" xfId="0" applyNumberFormat="1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166" fontId="12" fillId="0" borderId="1" xfId="0" applyNumberFormat="1" applyFont="1" applyBorder="1" applyAlignment="1">
      <alignment vertical="center"/>
    </xf>
    <xf numFmtId="0" fontId="14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166" fontId="11" fillId="0" borderId="1" xfId="0" applyNumberFormat="1" applyFont="1" applyBorder="1" applyAlignment="1">
      <alignment vertical="center"/>
    </xf>
    <xf numFmtId="166" fontId="11" fillId="0" borderId="0" xfId="0" applyNumberFormat="1" applyFont="1" applyAlignment="1">
      <alignment vertical="center"/>
    </xf>
    <xf numFmtId="166" fontId="12" fillId="5" borderId="1" xfId="0" applyNumberFormat="1" applyFont="1" applyFill="1" applyBorder="1" applyAlignment="1">
      <alignment vertical="center"/>
    </xf>
    <xf numFmtId="166" fontId="14" fillId="0" borderId="1" xfId="0" applyNumberFormat="1" applyFont="1" applyBorder="1" applyAlignment="1">
      <alignment vertical="center"/>
    </xf>
    <xf numFmtId="166" fontId="14" fillId="0" borderId="4" xfId="0" applyNumberFormat="1" applyFont="1" applyBorder="1" applyAlignment="1">
      <alignment vertical="center" wrapText="1"/>
    </xf>
    <xf numFmtId="0" fontId="14" fillId="0" borderId="2" xfId="0" applyFont="1" applyBorder="1" applyAlignment="1">
      <alignment vertical="center"/>
    </xf>
    <xf numFmtId="0" fontId="14" fillId="0" borderId="10" xfId="0" applyFont="1" applyBorder="1" applyAlignment="1">
      <alignment horizontal="center" vertical="center"/>
    </xf>
    <xf numFmtId="166" fontId="14" fillId="0" borderId="10" xfId="0" applyNumberFormat="1" applyFont="1" applyBorder="1" applyAlignment="1">
      <alignment vertical="center"/>
    </xf>
    <xf numFmtId="43" fontId="14" fillId="0" borderId="1" xfId="0" applyNumberFormat="1" applyFont="1" applyBorder="1" applyAlignment="1">
      <alignment vertical="center"/>
    </xf>
    <xf numFmtId="0" fontId="14" fillId="0" borderId="2" xfId="0" applyFont="1" applyBorder="1" applyAlignment="1">
      <alignment horizontal="center" vertical="center"/>
    </xf>
    <xf numFmtId="166" fontId="14" fillId="0" borderId="2" xfId="0" applyNumberFormat="1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3" fillId="5" borderId="6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vertical="center"/>
    </xf>
    <xf numFmtId="0" fontId="14" fillId="5" borderId="2" xfId="0" applyFont="1" applyFill="1" applyBorder="1" applyAlignment="1">
      <alignment horizontal="center" vertical="center"/>
    </xf>
    <xf numFmtId="43" fontId="14" fillId="5" borderId="1" xfId="0" applyNumberFormat="1" applyFont="1" applyFill="1" applyBorder="1" applyAlignment="1">
      <alignment vertical="center"/>
    </xf>
    <xf numFmtId="166" fontId="14" fillId="5" borderId="4" xfId="0" applyNumberFormat="1" applyFont="1" applyFill="1" applyBorder="1" applyAlignment="1">
      <alignment vertical="center"/>
    </xf>
    <xf numFmtId="0" fontId="14" fillId="5" borderId="1" xfId="0" applyFont="1" applyFill="1" applyBorder="1" applyAlignment="1">
      <alignment vertical="center" wrapText="1"/>
    </xf>
    <xf numFmtId="9" fontId="14" fillId="5" borderId="1" xfId="0" applyNumberFormat="1" applyFont="1" applyFill="1" applyBorder="1" applyAlignment="1">
      <alignment vertical="center"/>
    </xf>
    <xf numFmtId="0" fontId="14" fillId="7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0" fontId="13" fillId="11" borderId="1" xfId="0" applyFont="1" applyFill="1" applyBorder="1" applyAlignment="1">
      <alignment vertical="center"/>
    </xf>
    <xf numFmtId="0" fontId="13" fillId="11" borderId="2" xfId="0" applyFont="1" applyFill="1" applyBorder="1" applyAlignment="1">
      <alignment horizontal="center" vertical="center"/>
    </xf>
    <xf numFmtId="166" fontId="13" fillId="11" borderId="1" xfId="0" applyNumberFormat="1" applyFont="1" applyFill="1" applyBorder="1" applyAlignment="1">
      <alignment vertical="center"/>
    </xf>
    <xf numFmtId="166" fontId="13" fillId="11" borderId="4" xfId="0" applyNumberFormat="1" applyFont="1" applyFill="1" applyBorder="1" applyAlignment="1">
      <alignment vertical="center"/>
    </xf>
    <xf numFmtId="0" fontId="13" fillId="11" borderId="1" xfId="0" applyFont="1" applyFill="1" applyBorder="1" applyAlignment="1">
      <alignment vertical="center" wrapText="1"/>
    </xf>
    <xf numFmtId="9" fontId="13" fillId="11" borderId="1" xfId="0" applyNumberFormat="1" applyFont="1" applyFill="1" applyBorder="1" applyAlignment="1">
      <alignment vertical="center"/>
    </xf>
    <xf numFmtId="166" fontId="13" fillId="11" borderId="1" xfId="0" applyNumberFormat="1" applyFont="1" applyFill="1" applyBorder="1" applyAlignment="1">
      <alignment vertical="center" wrapText="1"/>
    </xf>
    <xf numFmtId="0" fontId="14" fillId="11" borderId="2" xfId="0" applyFont="1" applyFill="1" applyBorder="1" applyAlignment="1">
      <alignment horizontal="center" vertical="center"/>
    </xf>
    <xf numFmtId="9" fontId="14" fillId="11" borderId="1" xfId="0" applyNumberFormat="1" applyFont="1" applyFill="1" applyBorder="1" applyAlignment="1">
      <alignment vertical="center"/>
    </xf>
    <xf numFmtId="166" fontId="12" fillId="0" borderId="0" xfId="0" applyNumberFormat="1" applyFont="1" applyAlignment="1">
      <alignment vertical="center"/>
    </xf>
    <xf numFmtId="0" fontId="22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vertical="center"/>
    </xf>
    <xf numFmtId="166" fontId="22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6" fontId="17" fillId="0" borderId="1" xfId="0" applyNumberFormat="1" applyFont="1" applyBorder="1" applyAlignment="1">
      <alignment vertical="center"/>
    </xf>
    <xf numFmtId="41" fontId="17" fillId="0" borderId="1" xfId="0" applyNumberFormat="1" applyFont="1" applyBorder="1" applyAlignment="1">
      <alignment vertical="center"/>
    </xf>
    <xf numFmtId="0" fontId="22" fillId="14" borderId="1" xfId="0" applyFont="1" applyFill="1" applyBorder="1" applyAlignment="1">
      <alignment horizontal="center" vertical="center"/>
    </xf>
    <xf numFmtId="166" fontId="0" fillId="7" borderId="0" xfId="0" applyNumberFormat="1" applyFill="1" applyAlignment="1">
      <alignment vertical="center"/>
    </xf>
    <xf numFmtId="0" fontId="22" fillId="0" borderId="0" xfId="0" applyFont="1" applyAlignment="1">
      <alignment horizontal="center" vertical="center"/>
    </xf>
    <xf numFmtId="166" fontId="8" fillId="0" borderId="1" xfId="3" applyNumberFormat="1" applyFont="1" applyBorder="1" applyAlignment="1">
      <alignment horizontal="center" vertical="center"/>
    </xf>
    <xf numFmtId="0" fontId="24" fillId="15" borderId="12" xfId="0" applyFont="1" applyFill="1" applyBorder="1" applyAlignment="1">
      <alignment horizontal="center" vertical="center"/>
    </xf>
    <xf numFmtId="0" fontId="24" fillId="15" borderId="13" xfId="0" applyFont="1" applyFill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25" fillId="0" borderId="12" xfId="0" applyFont="1" applyBorder="1" applyAlignment="1">
      <alignment vertical="center" wrapText="1"/>
    </xf>
    <xf numFmtId="3" fontId="25" fillId="0" borderId="12" xfId="0" applyNumberFormat="1" applyFont="1" applyBorder="1" applyAlignment="1">
      <alignment vertical="center" wrapText="1"/>
    </xf>
    <xf numFmtId="0" fontId="24" fillId="15" borderId="14" xfId="0" applyFont="1" applyFill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 wrapText="1"/>
    </xf>
    <xf numFmtId="0" fontId="25" fillId="0" borderId="16" xfId="0" applyFont="1" applyBorder="1" applyAlignment="1">
      <alignment vertical="center" wrapText="1"/>
    </xf>
    <xf numFmtId="0" fontId="25" fillId="16" borderId="12" xfId="0" applyFont="1" applyFill="1" applyBorder="1" applyAlignment="1">
      <alignment horizontal="center" vertical="center" wrapText="1"/>
    </xf>
    <xf numFmtId="0" fontId="25" fillId="16" borderId="12" xfId="0" applyFont="1" applyFill="1" applyBorder="1" applyAlignment="1">
      <alignment vertical="center" wrapText="1"/>
    </xf>
    <xf numFmtId="3" fontId="25" fillId="16" borderId="12" xfId="0" applyNumberFormat="1" applyFont="1" applyFill="1" applyBorder="1" applyAlignment="1">
      <alignment vertical="center" wrapText="1"/>
    </xf>
    <xf numFmtId="166" fontId="15" fillId="7" borderId="1" xfId="0" applyNumberFormat="1" applyFont="1" applyFill="1" applyBorder="1" applyAlignment="1">
      <alignment vertical="center"/>
    </xf>
    <xf numFmtId="9" fontId="17" fillId="7" borderId="1" xfId="0" applyNumberFormat="1" applyFont="1" applyFill="1" applyBorder="1" applyAlignment="1">
      <alignment horizontal="center" vertical="center"/>
    </xf>
    <xf numFmtId="9" fontId="15" fillId="7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vertical="center"/>
    </xf>
    <xf numFmtId="167" fontId="4" fillId="8" borderId="1" xfId="2" applyNumberFormat="1" applyFont="1" applyFill="1" applyBorder="1" applyAlignment="1">
      <alignment horizontal="center" vertical="center" wrapText="1"/>
    </xf>
    <xf numFmtId="9" fontId="8" fillId="7" borderId="1" xfId="2" applyNumberFormat="1" applyFont="1" applyFill="1" applyBorder="1" applyAlignment="1">
      <alignment horizontal="center" vertical="center"/>
    </xf>
    <xf numFmtId="9" fontId="8" fillId="0" borderId="1" xfId="2" applyNumberFormat="1" applyFont="1" applyBorder="1" applyAlignment="1">
      <alignment horizontal="center" vertical="center"/>
    </xf>
    <xf numFmtId="166" fontId="22" fillId="7" borderId="1" xfId="0" applyNumberFormat="1" applyFont="1" applyFill="1" applyBorder="1"/>
    <xf numFmtId="0" fontId="22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6" fontId="0" fillId="7" borderId="1" xfId="0" applyNumberFormat="1" applyFill="1" applyBorder="1" applyAlignment="1">
      <alignment horizontal="right"/>
    </xf>
    <xf numFmtId="0" fontId="15" fillId="13" borderId="4" xfId="0" applyFont="1" applyFill="1" applyBorder="1" applyAlignment="1">
      <alignment vertical="center"/>
    </xf>
    <xf numFmtId="166" fontId="15" fillId="13" borderId="6" xfId="0" applyNumberFormat="1" applyFont="1" applyFill="1" applyBorder="1" applyAlignment="1">
      <alignment horizontal="right" vertical="center"/>
    </xf>
    <xf numFmtId="41" fontId="17" fillId="7" borderId="2" xfId="0" applyNumberFormat="1" applyFont="1" applyFill="1" applyBorder="1" applyAlignment="1">
      <alignment horizontal="right" vertical="center"/>
    </xf>
    <xf numFmtId="41" fontId="17" fillId="7" borderId="8" xfId="0" applyNumberFormat="1" applyFont="1" applyFill="1" applyBorder="1" applyAlignment="1">
      <alignment horizontal="right" vertical="center"/>
    </xf>
    <xf numFmtId="0" fontId="15" fillId="7" borderId="1" xfId="0" applyFont="1" applyFill="1" applyBorder="1"/>
    <xf numFmtId="0" fontId="17" fillId="7" borderId="1" xfId="0" applyFont="1" applyFill="1" applyBorder="1"/>
    <xf numFmtId="166" fontId="17" fillId="7" borderId="1" xfId="0" applyNumberFormat="1" applyFont="1" applyFill="1" applyBorder="1"/>
    <xf numFmtId="9" fontId="17" fillId="7" borderId="1" xfId="0" applyNumberFormat="1" applyFont="1" applyFill="1" applyBorder="1"/>
    <xf numFmtId="166" fontId="15" fillId="7" borderId="1" xfId="0" applyNumberFormat="1" applyFont="1" applyFill="1" applyBorder="1"/>
    <xf numFmtId="9" fontId="15" fillId="7" borderId="1" xfId="0" applyNumberFormat="1" applyFont="1" applyFill="1" applyBorder="1"/>
    <xf numFmtId="166" fontId="0" fillId="7" borderId="1" xfId="0" applyNumberFormat="1" applyFill="1" applyBorder="1" applyAlignment="1">
      <alignment vertical="center"/>
    </xf>
    <xf numFmtId="9" fontId="0" fillId="7" borderId="1" xfId="0" applyNumberFormat="1" applyFill="1" applyBorder="1" applyAlignment="1">
      <alignment vertical="center"/>
    </xf>
    <xf numFmtId="166" fontId="22" fillId="7" borderId="1" xfId="0" applyNumberFormat="1" applyFont="1" applyFill="1" applyBorder="1" applyAlignment="1">
      <alignment vertical="center"/>
    </xf>
    <xf numFmtId="9" fontId="22" fillId="7" borderId="1" xfId="0" applyNumberFormat="1" applyFont="1" applyFill="1" applyBorder="1" applyAlignment="1">
      <alignment vertical="center"/>
    </xf>
    <xf numFmtId="0" fontId="24" fillId="0" borderId="16" xfId="0" applyFont="1" applyBorder="1" applyAlignment="1">
      <alignment horizontal="center" vertical="center" wrapText="1"/>
    </xf>
    <xf numFmtId="0" fontId="24" fillId="0" borderId="16" xfId="0" applyFont="1" applyBorder="1" applyAlignment="1">
      <alignment vertical="center" wrapText="1"/>
    </xf>
    <xf numFmtId="166" fontId="24" fillId="0" borderId="16" xfId="0" applyNumberFormat="1" applyFont="1" applyBorder="1" applyAlignment="1">
      <alignment vertical="center" wrapText="1"/>
    </xf>
    <xf numFmtId="0" fontId="22" fillId="0" borderId="0" xfId="0" applyFont="1" applyAlignment="1">
      <alignment vertical="center"/>
    </xf>
    <xf numFmtId="166" fontId="25" fillId="0" borderId="15" xfId="0" applyNumberFormat="1" applyFont="1" applyBorder="1" applyAlignment="1">
      <alignment vertical="center" wrapText="1"/>
    </xf>
    <xf numFmtId="166" fontId="25" fillId="16" borderId="15" xfId="0" applyNumberFormat="1" applyFont="1" applyFill="1" applyBorder="1" applyAlignment="1">
      <alignment vertical="center" wrapText="1"/>
    </xf>
    <xf numFmtId="166" fontId="0" fillId="0" borderId="0" xfId="0" applyNumberFormat="1"/>
    <xf numFmtId="0" fontId="17" fillId="0" borderId="1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/>
    </xf>
    <xf numFmtId="166" fontId="14" fillId="0" borderId="18" xfId="0" applyNumberFormat="1" applyFont="1" applyBorder="1" applyAlignment="1">
      <alignment vertical="center"/>
    </xf>
    <xf numFmtId="166" fontId="13" fillId="11" borderId="18" xfId="0" applyNumberFormat="1" applyFont="1" applyFill="1" applyBorder="1" applyAlignment="1">
      <alignment vertical="center"/>
    </xf>
    <xf numFmtId="0" fontId="14" fillId="5" borderId="17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vertical="center"/>
    </xf>
    <xf numFmtId="43" fontId="14" fillId="5" borderId="2" xfId="0" applyNumberFormat="1" applyFont="1" applyFill="1" applyBorder="1" applyAlignment="1">
      <alignment vertical="center"/>
    </xf>
    <xf numFmtId="166" fontId="14" fillId="5" borderId="10" xfId="0" applyNumberFormat="1" applyFont="1" applyFill="1" applyBorder="1" applyAlignment="1">
      <alignment vertical="center"/>
    </xf>
    <xf numFmtId="0" fontId="14" fillId="5" borderId="2" xfId="0" applyFont="1" applyFill="1" applyBorder="1" applyAlignment="1">
      <alignment vertical="center" wrapText="1"/>
    </xf>
    <xf numFmtId="9" fontId="14" fillId="5" borderId="2" xfId="0" applyNumberFormat="1" applyFont="1" applyFill="1" applyBorder="1" applyAlignment="1">
      <alignment vertical="center"/>
    </xf>
    <xf numFmtId="0" fontId="14" fillId="7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vertical="center" wrapText="1"/>
    </xf>
    <xf numFmtId="0" fontId="13" fillId="11" borderId="17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vertical="center"/>
    </xf>
    <xf numFmtId="166" fontId="0" fillId="7" borderId="0" xfId="0" applyNumberFormat="1" applyFill="1" applyAlignment="1">
      <alignment horizontal="right"/>
    </xf>
    <xf numFmtId="166" fontId="22" fillId="7" borderId="0" xfId="0" applyNumberFormat="1" applyFont="1" applyFill="1"/>
    <xf numFmtId="9" fontId="22" fillId="7" borderId="0" xfId="0" applyNumberFormat="1" applyFont="1" applyFill="1" applyAlignment="1">
      <alignment horizontal="center"/>
    </xf>
    <xf numFmtId="0" fontId="24" fillId="15" borderId="1" xfId="0" applyFont="1" applyFill="1" applyBorder="1" applyAlignment="1">
      <alignment horizontal="center" vertical="center" wrapText="1"/>
    </xf>
    <xf numFmtId="166" fontId="25" fillId="0" borderId="1" xfId="0" applyNumberFormat="1" applyFont="1" applyBorder="1" applyAlignment="1">
      <alignment vertical="center" wrapText="1"/>
    </xf>
    <xf numFmtId="166" fontId="25" fillId="16" borderId="1" xfId="0" applyNumberFormat="1" applyFont="1" applyFill="1" applyBorder="1" applyAlignment="1">
      <alignment vertical="center" wrapText="1"/>
    </xf>
    <xf numFmtId="166" fontId="24" fillId="0" borderId="1" xfId="0" applyNumberFormat="1" applyFont="1" applyBorder="1" applyAlignment="1">
      <alignment vertical="center" wrapText="1"/>
    </xf>
    <xf numFmtId="166" fontId="24" fillId="0" borderId="0" xfId="0" applyNumberFormat="1" applyFont="1" applyAlignment="1">
      <alignment vertical="center" wrapText="1"/>
    </xf>
    <xf numFmtId="14" fontId="25" fillId="0" borderId="12" xfId="0" applyNumberFormat="1" applyFont="1" applyBorder="1" applyAlignment="1">
      <alignment vertical="center" wrapText="1"/>
    </xf>
    <xf numFmtId="14" fontId="25" fillId="16" borderId="12" xfId="0" applyNumberFormat="1" applyFont="1" applyFill="1" applyBorder="1" applyAlignment="1">
      <alignment vertical="center" wrapText="1"/>
    </xf>
    <xf numFmtId="14" fontId="25" fillId="0" borderId="16" xfId="0" applyNumberFormat="1" applyFont="1" applyBorder="1" applyAlignment="1">
      <alignment vertical="center" wrapText="1"/>
    </xf>
    <xf numFmtId="0" fontId="8" fillId="0" borderId="1" xfId="2" applyFont="1" applyBorder="1" applyAlignment="1">
      <alignment horizontal="left" vertical="center" wrapText="1"/>
    </xf>
    <xf numFmtId="0" fontId="26" fillId="0" borderId="0" xfId="0" applyFont="1"/>
    <xf numFmtId="0" fontId="26" fillId="0" borderId="1" xfId="0" applyFont="1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7" fillId="14" borderId="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2" xfId="0" applyFont="1" applyBorder="1" applyAlignment="1">
      <alignment vertical="center"/>
    </xf>
    <xf numFmtId="166" fontId="26" fillId="0" borderId="1" xfId="0" applyNumberFormat="1" applyFont="1" applyBorder="1" applyAlignment="1">
      <alignment vertical="center"/>
    </xf>
    <xf numFmtId="166" fontId="26" fillId="0" borderId="2" xfId="0" applyNumberFormat="1" applyFont="1" applyBorder="1" applyAlignment="1">
      <alignment vertical="center"/>
    </xf>
    <xf numFmtId="0" fontId="27" fillId="16" borderId="1" xfId="0" applyFont="1" applyFill="1" applyBorder="1" applyAlignment="1">
      <alignment horizontal="center" vertical="center"/>
    </xf>
    <xf numFmtId="0" fontId="27" fillId="17" borderId="1" xfId="0" applyFont="1" applyFill="1" applyBorder="1" applyAlignment="1">
      <alignment horizontal="center" vertical="center"/>
    </xf>
    <xf numFmtId="166" fontId="27" fillId="17" borderId="1" xfId="0" applyNumberFormat="1" applyFont="1" applyFill="1" applyBorder="1" applyAlignment="1">
      <alignment vertical="center"/>
    </xf>
    <xf numFmtId="166" fontId="27" fillId="17" borderId="2" xfId="0" applyNumberFormat="1" applyFont="1" applyFill="1" applyBorder="1" applyAlignment="1">
      <alignment vertical="center"/>
    </xf>
    <xf numFmtId="166" fontId="27" fillId="16" borderId="1" xfId="0" applyNumberFormat="1" applyFont="1" applyFill="1" applyBorder="1" applyAlignment="1">
      <alignment vertical="center"/>
    </xf>
    <xf numFmtId="166" fontId="27" fillId="16" borderId="2" xfId="0" applyNumberFormat="1" applyFont="1" applyFill="1" applyBorder="1" applyAlignment="1">
      <alignment vertical="center"/>
    </xf>
    <xf numFmtId="0" fontId="27" fillId="17" borderId="1" xfId="0" applyFont="1" applyFill="1" applyBorder="1" applyAlignment="1">
      <alignment horizontal="center" vertical="center" wrapText="1"/>
    </xf>
    <xf numFmtId="166" fontId="28" fillId="17" borderId="1" xfId="0" applyNumberFormat="1" applyFont="1" applyFill="1" applyBorder="1" applyAlignment="1">
      <alignment vertical="center"/>
    </xf>
    <xf numFmtId="166" fontId="28" fillId="7" borderId="1" xfId="0" applyNumberFormat="1" applyFont="1" applyFill="1" applyBorder="1" applyAlignment="1">
      <alignment vertical="center"/>
    </xf>
    <xf numFmtId="166" fontId="28" fillId="16" borderId="1" xfId="0" applyNumberFormat="1" applyFont="1" applyFill="1" applyBorder="1" applyAlignment="1">
      <alignment vertical="center"/>
    </xf>
    <xf numFmtId="0" fontId="28" fillId="0" borderId="0" xfId="0" applyFont="1" applyAlignment="1">
      <alignment vertical="center"/>
    </xf>
    <xf numFmtId="166" fontId="25" fillId="16" borderId="12" xfId="0" applyNumberFormat="1" applyFont="1" applyFill="1" applyBorder="1" applyAlignment="1">
      <alignment vertical="center" wrapText="1"/>
    </xf>
    <xf numFmtId="9" fontId="8" fillId="0" borderId="1" xfId="2" applyNumberFormat="1" applyFont="1" applyBorder="1" applyAlignment="1">
      <alignment horizontal="center" vertical="center" wrapText="1"/>
    </xf>
    <xf numFmtId="0" fontId="25" fillId="7" borderId="12" xfId="0" applyFont="1" applyFill="1" applyBorder="1" applyAlignment="1">
      <alignment horizontal="center" vertical="center" wrapText="1"/>
    </xf>
    <xf numFmtId="0" fontId="25" fillId="7" borderId="12" xfId="0" applyFont="1" applyFill="1" applyBorder="1" applyAlignment="1">
      <alignment vertical="center" wrapText="1"/>
    </xf>
    <xf numFmtId="0" fontId="25" fillId="7" borderId="16" xfId="0" applyFont="1" applyFill="1" applyBorder="1" applyAlignment="1">
      <alignment vertical="center" wrapText="1"/>
    </xf>
    <xf numFmtId="14" fontId="25" fillId="7" borderId="16" xfId="0" applyNumberFormat="1" applyFont="1" applyFill="1" applyBorder="1" applyAlignment="1">
      <alignment vertical="center" wrapText="1"/>
    </xf>
    <xf numFmtId="3" fontId="25" fillId="7" borderId="12" xfId="0" applyNumberFormat="1" applyFont="1" applyFill="1" applyBorder="1" applyAlignment="1">
      <alignment vertical="center" wrapText="1"/>
    </xf>
    <xf numFmtId="166" fontId="25" fillId="7" borderId="12" xfId="0" applyNumberFormat="1" applyFont="1" applyFill="1" applyBorder="1" applyAlignment="1">
      <alignment vertical="center" wrapText="1"/>
    </xf>
    <xf numFmtId="166" fontId="25" fillId="7" borderId="1" xfId="0" applyNumberFormat="1" applyFont="1" applyFill="1" applyBorder="1" applyAlignment="1">
      <alignment vertical="center" wrapText="1"/>
    </xf>
    <xf numFmtId="0" fontId="0" fillId="7" borderId="0" xfId="0" applyFill="1" applyAlignment="1">
      <alignment vertical="center"/>
    </xf>
    <xf numFmtId="166" fontId="25" fillId="0" borderId="12" xfId="0" applyNumberFormat="1" applyFont="1" applyBorder="1" applyAlignment="1">
      <alignment vertical="center" wrapText="1"/>
    </xf>
    <xf numFmtId="0" fontId="24" fillId="15" borderId="19" xfId="0" applyFont="1" applyFill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167" fontId="8" fillId="7" borderId="6" xfId="2" applyNumberFormat="1" applyFont="1" applyFill="1" applyBorder="1" applyAlignment="1">
      <alignment horizontal="center" vertical="top" wrapText="1"/>
    </xf>
    <xf numFmtId="167" fontId="8" fillId="0" borderId="8" xfId="2" applyNumberFormat="1" applyFont="1" applyBorder="1" applyAlignment="1">
      <alignment horizontal="center" vertical="center"/>
    </xf>
    <xf numFmtId="0" fontId="8" fillId="0" borderId="4" xfId="2" applyFont="1" applyBorder="1" applyAlignment="1">
      <alignment horizontal="center" vertical="center" wrapText="1"/>
    </xf>
    <xf numFmtId="0" fontId="8" fillId="0" borderId="6" xfId="2" applyFont="1" applyBorder="1" applyAlignment="1">
      <alignment horizontal="center" vertical="center"/>
    </xf>
    <xf numFmtId="14" fontId="25" fillId="7" borderId="12" xfId="0" applyNumberFormat="1" applyFont="1" applyFill="1" applyBorder="1" applyAlignment="1">
      <alignment vertical="center" wrapText="1"/>
    </xf>
    <xf numFmtId="166" fontId="25" fillId="7" borderId="15" xfId="0" applyNumberFormat="1" applyFont="1" applyFill="1" applyBorder="1" applyAlignment="1">
      <alignment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</cellXfs>
  <cellStyles count="6">
    <cellStyle name="Comma" xfId="1" builtinId="3"/>
    <cellStyle name="Comma 2" xfId="3" xr:uid="{00000000-0005-0000-0000-000001000000}"/>
    <cellStyle name="Hyperlink" xfId="5" builtinId="8"/>
    <cellStyle name="Normal" xfId="0" builtinId="0"/>
    <cellStyle name="Normal 2" xfId="2" xr:uid="{00000000-0005-0000-0000-000004000000}"/>
    <cellStyle name="Normal 3" xfId="4" xr:uid="{00000000-0005-0000-0000-000005000000}"/>
  </cellStyles>
  <dxfs count="450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6" formatCode="_-* #,##0_-;\-* #,##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0" formatCode="General"/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z val="12"/>
        <name val="Times New Roman"/>
      </font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alignment horizontal="right"/>
    </dxf>
    <dxf>
      <alignment vertical="center"/>
    </dxf>
    <dxf>
      <alignment vertical="center"/>
    </dxf>
    <dxf>
      <alignment wrapText="1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vertical="center"/>
    </dxf>
    <dxf>
      <alignment vertical="center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right"/>
    </dxf>
    <dxf>
      <alignment vertical="center"/>
    </dxf>
    <dxf>
      <alignment vertical="center"/>
    </dxf>
    <dxf>
      <alignment wrapText="1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6" formatCode="_-* #,##0_-;\-* #,##0_-;_-* &quot;-&quot;??_-;_-@_-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6" formatCode="_-* #,##0_-;\-* #,##0_-;_-* &quot;-&quot;??_-;_-@_-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solid">
          <fgColor rgb="FF000000"/>
          <bgColor rgb="FFDDEBF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horizontal="center"/>
    </dxf>
    <dxf>
      <alignment wrapText="1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6" formatCode="_-* #,##0_-;\-* #,##0_-;_-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M3W4 theo Nhân sự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tuần'!$F$144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tuần'!$E$145:$E$158</c:f>
              <c:strCache>
                <c:ptCount val="14"/>
                <c:pt idx="0">
                  <c:v>Vũ Ánh Dương</c:v>
                </c:pt>
                <c:pt idx="1">
                  <c:v>Đỗ Đắc Long</c:v>
                </c:pt>
                <c:pt idx="2">
                  <c:v>Nguyễn Lâm Vũ</c:v>
                </c:pt>
                <c:pt idx="3">
                  <c:v>Trần Thị Phương Thảo</c:v>
                </c:pt>
                <c:pt idx="4">
                  <c:v>Đinh Ngọc Thịnh</c:v>
                </c:pt>
                <c:pt idx="5">
                  <c:v>Chu Hoàng Nam</c:v>
                </c:pt>
                <c:pt idx="6">
                  <c:v>Phạm Nguyên Khánh</c:v>
                </c:pt>
                <c:pt idx="7">
                  <c:v>Lê Đức Trung Anh</c:v>
                </c:pt>
                <c:pt idx="8">
                  <c:v>Ngô Thanh Tùng</c:v>
                </c:pt>
                <c:pt idx="9">
                  <c:v>Trần Tuấn Anh</c:v>
                </c:pt>
                <c:pt idx="10">
                  <c:v>Dương Xuân Thái</c:v>
                </c:pt>
                <c:pt idx="11">
                  <c:v>Đặng Công Bình</c:v>
                </c:pt>
                <c:pt idx="12">
                  <c:v>Nguyễn Thanh Bình</c:v>
                </c:pt>
                <c:pt idx="13">
                  <c:v>Hà Thị Ngọc</c:v>
                </c:pt>
              </c:strCache>
            </c:strRef>
          </c:cat>
          <c:val>
            <c:numRef>
              <c:f>'BC tuần'!$F$145:$F$158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8962963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1-488A-894C-D8EE2A47C3BE}"/>
            </c:ext>
          </c:extLst>
        </c:ser>
        <c:ser>
          <c:idx val="1"/>
          <c:order val="1"/>
          <c:tx>
            <c:strRef>
              <c:f>'BC tuần'!$G$144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tuần'!$E$145:$E$158</c:f>
              <c:strCache>
                <c:ptCount val="14"/>
                <c:pt idx="0">
                  <c:v>Vũ Ánh Dương</c:v>
                </c:pt>
                <c:pt idx="1">
                  <c:v>Đỗ Đắc Long</c:v>
                </c:pt>
                <c:pt idx="2">
                  <c:v>Nguyễn Lâm Vũ</c:v>
                </c:pt>
                <c:pt idx="3">
                  <c:v>Trần Thị Phương Thảo</c:v>
                </c:pt>
                <c:pt idx="4">
                  <c:v>Đinh Ngọc Thịnh</c:v>
                </c:pt>
                <c:pt idx="5">
                  <c:v>Chu Hoàng Nam</c:v>
                </c:pt>
                <c:pt idx="6">
                  <c:v>Phạm Nguyên Khánh</c:v>
                </c:pt>
                <c:pt idx="7">
                  <c:v>Lê Đức Trung Anh</c:v>
                </c:pt>
                <c:pt idx="8">
                  <c:v>Ngô Thanh Tùng</c:v>
                </c:pt>
                <c:pt idx="9">
                  <c:v>Trần Tuấn Anh</c:v>
                </c:pt>
                <c:pt idx="10">
                  <c:v>Dương Xuân Thái</c:v>
                </c:pt>
                <c:pt idx="11">
                  <c:v>Đặng Công Bình</c:v>
                </c:pt>
                <c:pt idx="12">
                  <c:v>Nguyễn Thanh Bình</c:v>
                </c:pt>
                <c:pt idx="13">
                  <c:v>Hà Thị Ngọc</c:v>
                </c:pt>
              </c:strCache>
            </c:strRef>
          </c:cat>
          <c:val>
            <c:numRef>
              <c:f>'BC tuần'!$G$145:$G$158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1-488A-894C-D8EE2A47C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74494984"/>
        <c:axId val="1474498056"/>
      </c:barChart>
      <c:catAx>
        <c:axId val="1474494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474498056"/>
        <c:crosses val="autoZero"/>
        <c:auto val="1"/>
        <c:lblAlgn val="ctr"/>
        <c:lblOffset val="100"/>
        <c:noMultiLvlLbl val="0"/>
      </c:catAx>
      <c:valAx>
        <c:axId val="1474498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474494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tháng 5 theo Nhân sự</a:t>
            </a:r>
          </a:p>
        </c:rich>
      </c:tx>
      <c:layout>
        <c:manualLayout>
          <c:xMode val="edge"/>
          <c:yMode val="edge"/>
          <c:x val="0.14503988137846408"/>
          <c:y val="2.18999825021872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tuần'!$G$163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tuần'!$E$164:$E$185</c:f>
              <c:strCache>
                <c:ptCount val="14"/>
                <c:pt idx="0">
                  <c:v>Nguyễn Thanh Bình</c:v>
                </c:pt>
                <c:pt idx="1">
                  <c:v>Ngô Thanh Tùng</c:v>
                </c:pt>
                <c:pt idx="2">
                  <c:v>Chu Hoàng Nam</c:v>
                </c:pt>
                <c:pt idx="3">
                  <c:v>Đinh Ngọc Thịnh</c:v>
                </c:pt>
                <c:pt idx="4">
                  <c:v>Hoàng Xuân Sơn</c:v>
                </c:pt>
                <c:pt idx="5">
                  <c:v>Phạm Hoàng Giang</c:v>
                </c:pt>
                <c:pt idx="6">
                  <c:v>Hà Thị Ngọc</c:v>
                </c:pt>
                <c:pt idx="7">
                  <c:v>Lê Thị Sao Mai</c:v>
                </c:pt>
                <c:pt idx="8">
                  <c:v>Hồ Hằng</c:v>
                </c:pt>
                <c:pt idx="9">
                  <c:v>Lê Thị Hằng</c:v>
                </c:pt>
                <c:pt idx="10">
                  <c:v>Dương Xuân Thái</c:v>
                </c:pt>
                <c:pt idx="11">
                  <c:v>Nguyễn Lâm Vũ</c:v>
                </c:pt>
                <c:pt idx="12">
                  <c:v>Đàm Bình Minh</c:v>
                </c:pt>
                <c:pt idx="13">
                  <c:v>Nguyễn Thị Vân</c:v>
                </c:pt>
              </c:strCache>
            </c:strRef>
          </c:cat>
          <c:val>
            <c:numRef>
              <c:f>'BC tuần'!$G$164:$G$185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669074079.81481481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59907407.222222224</c:v>
                </c:pt>
                <c:pt idx="8">
                  <c:v>0</c:v>
                </c:pt>
                <c:pt idx="9">
                  <c:v>4662324855</c:v>
                </c:pt>
                <c:pt idx="10">
                  <c:v>0</c:v>
                </c:pt>
                <c:pt idx="11">
                  <c:v>350880555</c:v>
                </c:pt>
                <c:pt idx="12">
                  <c:v>356000000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D9-4ADD-91EE-0CFAAAE51C1D}"/>
            </c:ext>
          </c:extLst>
        </c:ser>
        <c:ser>
          <c:idx val="1"/>
          <c:order val="1"/>
          <c:tx>
            <c:strRef>
              <c:f>'BC tuần'!$H$163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tuần'!$E$164:$E$185</c:f>
              <c:strCache>
                <c:ptCount val="14"/>
                <c:pt idx="0">
                  <c:v>Nguyễn Thanh Bình</c:v>
                </c:pt>
                <c:pt idx="1">
                  <c:v>Ngô Thanh Tùng</c:v>
                </c:pt>
                <c:pt idx="2">
                  <c:v>Chu Hoàng Nam</c:v>
                </c:pt>
                <c:pt idx="3">
                  <c:v>Đinh Ngọc Thịnh</c:v>
                </c:pt>
                <c:pt idx="4">
                  <c:v>Hoàng Xuân Sơn</c:v>
                </c:pt>
                <c:pt idx="5">
                  <c:v>Phạm Hoàng Giang</c:v>
                </c:pt>
                <c:pt idx="6">
                  <c:v>Hà Thị Ngọc</c:v>
                </c:pt>
                <c:pt idx="7">
                  <c:v>Lê Thị Sao Mai</c:v>
                </c:pt>
                <c:pt idx="8">
                  <c:v>Hồ Hằng</c:v>
                </c:pt>
                <c:pt idx="9">
                  <c:v>Lê Thị Hằng</c:v>
                </c:pt>
                <c:pt idx="10">
                  <c:v>Dương Xuân Thái</c:v>
                </c:pt>
                <c:pt idx="11">
                  <c:v>Nguyễn Lâm Vũ</c:v>
                </c:pt>
                <c:pt idx="12">
                  <c:v>Đàm Bình Minh</c:v>
                </c:pt>
                <c:pt idx="13">
                  <c:v>Nguyễn Thị Vân</c:v>
                </c:pt>
              </c:strCache>
            </c:strRef>
          </c:cat>
          <c:val>
            <c:numRef>
              <c:f>'BC tuần'!$H$164:$H$185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5">
                  <c:v>0</c:v>
                </c:pt>
                <c:pt idx="6">
                  <c:v>25</c:v>
                </c:pt>
                <c:pt idx="7">
                  <c:v>2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4</c:v>
                </c:pt>
                <c:pt idx="12">
                  <c:v>1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D9-4ADD-91EE-0CFAAAE51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5749511"/>
        <c:axId val="1665751559"/>
      </c:barChart>
      <c:catAx>
        <c:axId val="1665749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665751559"/>
        <c:crosses val="autoZero"/>
        <c:auto val="1"/>
        <c:lblAlgn val="ctr"/>
        <c:lblOffset val="100"/>
        <c:noMultiLvlLbl val="0"/>
      </c:catAx>
      <c:valAx>
        <c:axId val="1665751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665749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lũy kế Quý II theo Nhân sự</a:t>
            </a:r>
          </a:p>
        </c:rich>
      </c:tx>
      <c:layout>
        <c:manualLayout>
          <c:xMode val="edge"/>
          <c:yMode val="edge"/>
          <c:x val="0.12410597946519028"/>
          <c:y val="2.77779878248925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tuần'!$F$189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tuần'!$E$190:$E$214</c:f>
              <c:strCache>
                <c:ptCount val="18"/>
                <c:pt idx="0">
                  <c:v>Nguyễn Thanh Bình</c:v>
                </c:pt>
                <c:pt idx="1">
                  <c:v>Ngô Thanh Tùng</c:v>
                </c:pt>
                <c:pt idx="2">
                  <c:v>Nguyễn Thị Vân</c:v>
                </c:pt>
                <c:pt idx="3">
                  <c:v>Nguyễn Lâm Vũ</c:v>
                </c:pt>
                <c:pt idx="4">
                  <c:v>Đàm Bình Minh</c:v>
                </c:pt>
                <c:pt idx="5">
                  <c:v>Chu Hoàng Nam</c:v>
                </c:pt>
                <c:pt idx="6">
                  <c:v>Hồ Hằng</c:v>
                </c:pt>
                <c:pt idx="7">
                  <c:v>Trần Tuấn Anh</c:v>
                </c:pt>
                <c:pt idx="8">
                  <c:v>Dương Xuân Thái</c:v>
                </c:pt>
                <c:pt idx="9">
                  <c:v>Lê Thị Hằng</c:v>
                </c:pt>
                <c:pt idx="10">
                  <c:v>Vũ Ánh Dương</c:v>
                </c:pt>
                <c:pt idx="11">
                  <c:v>Phạm Nguyên Khánh</c:v>
                </c:pt>
                <c:pt idx="12">
                  <c:v>Lê Thị Sao Mai</c:v>
                </c:pt>
                <c:pt idx="13">
                  <c:v>Hà Thị Ngọc</c:v>
                </c:pt>
                <c:pt idx="14">
                  <c:v>Đinh Ngọc Thịnh</c:v>
                </c:pt>
                <c:pt idx="15">
                  <c:v>Đặng Công Bình</c:v>
                </c:pt>
                <c:pt idx="16">
                  <c:v>Trần Hán Triều</c:v>
                </c:pt>
                <c:pt idx="17">
                  <c:v>Phạm Hoàng Giang</c:v>
                </c:pt>
              </c:strCache>
            </c:strRef>
          </c:cat>
          <c:val>
            <c:numRef>
              <c:f>'BC tuần'!$F$190:$F$214</c:f>
              <c:numCache>
                <c:formatCode>_-* #,##0_-;\-* #,##0_-;_-* "-"??_-;_-@_-</c:formatCode>
                <c:ptCount val="18"/>
                <c:pt idx="0">
                  <c:v>6241634743</c:v>
                </c:pt>
                <c:pt idx="1">
                  <c:v>1332256035.4938269</c:v>
                </c:pt>
                <c:pt idx="2">
                  <c:v>0</c:v>
                </c:pt>
                <c:pt idx="3">
                  <c:v>810084258.44074082</c:v>
                </c:pt>
                <c:pt idx="4">
                  <c:v>447670000</c:v>
                </c:pt>
                <c:pt idx="5">
                  <c:v>377481481.37037033</c:v>
                </c:pt>
                <c:pt idx="6">
                  <c:v>0</c:v>
                </c:pt>
                <c:pt idx="7">
                  <c:v>24148148</c:v>
                </c:pt>
                <c:pt idx="8">
                  <c:v>539031250</c:v>
                </c:pt>
                <c:pt idx="9">
                  <c:v>4662324855</c:v>
                </c:pt>
                <c:pt idx="10">
                  <c:v>147941778.69999999</c:v>
                </c:pt>
                <c:pt idx="11">
                  <c:v>62801758.333333328</c:v>
                </c:pt>
                <c:pt idx="12">
                  <c:v>1253960648.2222223</c:v>
                </c:pt>
                <c:pt idx="13">
                  <c:v>0</c:v>
                </c:pt>
                <c:pt idx="14">
                  <c:v>687777782.81481481</c:v>
                </c:pt>
                <c:pt idx="15">
                  <c:v>14807407</c:v>
                </c:pt>
                <c:pt idx="16">
                  <c:v>6481481.5999999996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9-42C0-8CF2-101EB1D162CC}"/>
            </c:ext>
          </c:extLst>
        </c:ser>
        <c:ser>
          <c:idx val="1"/>
          <c:order val="1"/>
          <c:tx>
            <c:strRef>
              <c:f>'BC tuần'!$G$189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tuần'!$E$190:$E$214</c:f>
              <c:strCache>
                <c:ptCount val="18"/>
                <c:pt idx="0">
                  <c:v>Nguyễn Thanh Bình</c:v>
                </c:pt>
                <c:pt idx="1">
                  <c:v>Ngô Thanh Tùng</c:v>
                </c:pt>
                <c:pt idx="2">
                  <c:v>Nguyễn Thị Vân</c:v>
                </c:pt>
                <c:pt idx="3">
                  <c:v>Nguyễn Lâm Vũ</c:v>
                </c:pt>
                <c:pt idx="4">
                  <c:v>Đàm Bình Minh</c:v>
                </c:pt>
                <c:pt idx="5">
                  <c:v>Chu Hoàng Nam</c:v>
                </c:pt>
                <c:pt idx="6">
                  <c:v>Hồ Hằng</c:v>
                </c:pt>
                <c:pt idx="7">
                  <c:v>Trần Tuấn Anh</c:v>
                </c:pt>
                <c:pt idx="8">
                  <c:v>Dương Xuân Thái</c:v>
                </c:pt>
                <c:pt idx="9">
                  <c:v>Lê Thị Hằng</c:v>
                </c:pt>
                <c:pt idx="10">
                  <c:v>Vũ Ánh Dương</c:v>
                </c:pt>
                <c:pt idx="11">
                  <c:v>Phạm Nguyên Khánh</c:v>
                </c:pt>
                <c:pt idx="12">
                  <c:v>Lê Thị Sao Mai</c:v>
                </c:pt>
                <c:pt idx="13">
                  <c:v>Hà Thị Ngọc</c:v>
                </c:pt>
                <c:pt idx="14">
                  <c:v>Đinh Ngọc Thịnh</c:v>
                </c:pt>
                <c:pt idx="15">
                  <c:v>Đặng Công Bình</c:v>
                </c:pt>
                <c:pt idx="16">
                  <c:v>Trần Hán Triều</c:v>
                </c:pt>
                <c:pt idx="17">
                  <c:v>Phạm Hoàng Giang</c:v>
                </c:pt>
              </c:strCache>
            </c:strRef>
          </c:cat>
          <c:val>
            <c:numRef>
              <c:f>'BC tuần'!$G$190:$G$214</c:f>
              <c:numCache>
                <c:formatCode>_-* #,##0_-;\-* #,##0_-;_-* "-"??_-;_-@_-</c:formatCode>
                <c:ptCount val="18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7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  <c:pt idx="12">
                  <c:v>3</c:v>
                </c:pt>
                <c:pt idx="13">
                  <c:v>145</c:v>
                </c:pt>
                <c:pt idx="14">
                  <c:v>8</c:v>
                </c:pt>
                <c:pt idx="15">
                  <c:v>2</c:v>
                </c:pt>
                <c:pt idx="16">
                  <c:v>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69-42C0-8CF2-101EB1D16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5735687"/>
        <c:axId val="1924292615"/>
      </c:barChart>
      <c:catAx>
        <c:axId val="16657356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924292615"/>
        <c:crosses val="autoZero"/>
        <c:auto val="1"/>
        <c:lblAlgn val="ctr"/>
        <c:lblOffset val="100"/>
        <c:noMultiLvlLbl val="0"/>
      </c:catAx>
      <c:valAx>
        <c:axId val="1924292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665735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lũy kế năm theo Nhân sự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tuần'!$F$218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tuần'!$E$219:$E$243</c:f>
              <c:strCache>
                <c:ptCount val="25"/>
                <c:pt idx="0">
                  <c:v>Nguyễn Thanh Bình</c:v>
                </c:pt>
                <c:pt idx="1">
                  <c:v>Ngô Thanh Tùng</c:v>
                </c:pt>
                <c:pt idx="2">
                  <c:v>Phạm Nguyên Khánh</c:v>
                </c:pt>
                <c:pt idx="3">
                  <c:v>Nguyễn Lâm Vũ</c:v>
                </c:pt>
                <c:pt idx="4">
                  <c:v>Trần Thị Phương Thảo</c:v>
                </c:pt>
                <c:pt idx="5">
                  <c:v>Đặng Công Bình</c:v>
                </c:pt>
                <c:pt idx="6">
                  <c:v>Trần Tuấn Anh</c:v>
                </c:pt>
                <c:pt idx="7">
                  <c:v>Nguyễn Thị Vân</c:v>
                </c:pt>
                <c:pt idx="8">
                  <c:v>Đỗ Đắc Long</c:v>
                </c:pt>
                <c:pt idx="9">
                  <c:v>Chu Hoàng Nam</c:v>
                </c:pt>
                <c:pt idx="10">
                  <c:v>Vũ Ánh Dương</c:v>
                </c:pt>
                <c:pt idx="11">
                  <c:v>Đinh Ngọc Thịnh</c:v>
                </c:pt>
                <c:pt idx="12">
                  <c:v>Đàm Bình Minh</c:v>
                </c:pt>
                <c:pt idx="13">
                  <c:v>Hồ Hằng</c:v>
                </c:pt>
                <c:pt idx="14">
                  <c:v>Dương Xuân Thái</c:v>
                </c:pt>
                <c:pt idx="15">
                  <c:v>Nguyễn Hoàng Dương</c:v>
                </c:pt>
                <c:pt idx="16">
                  <c:v>Lê Đức Trung Anh</c:v>
                </c:pt>
                <c:pt idx="17">
                  <c:v>Lê Thị Hằng</c:v>
                </c:pt>
                <c:pt idx="18">
                  <c:v>Lê Thị Sao Mai</c:v>
                </c:pt>
                <c:pt idx="19">
                  <c:v>Hà Thị Ngọc</c:v>
                </c:pt>
                <c:pt idx="20">
                  <c:v>Nguyễn Ngọc Mai</c:v>
                </c:pt>
                <c:pt idx="21">
                  <c:v>Ngũ Việt Tuấn</c:v>
                </c:pt>
                <c:pt idx="22">
                  <c:v>Phạm Hoàng Giang</c:v>
                </c:pt>
                <c:pt idx="23">
                  <c:v>Trần Hán Triều</c:v>
                </c:pt>
                <c:pt idx="24">
                  <c:v>Tiêu Chí Quốc</c:v>
                </c:pt>
              </c:strCache>
            </c:strRef>
          </c:cat>
          <c:val>
            <c:numRef>
              <c:f>'BC tuần'!$F$219:$F$243</c:f>
              <c:numCache>
                <c:formatCode>_-* #,##0_-;\-* #,##0_-;_-* "-"??_-;_-@_-</c:formatCode>
                <c:ptCount val="25"/>
                <c:pt idx="0">
                  <c:v>16015444856.111111</c:v>
                </c:pt>
                <c:pt idx="1">
                  <c:v>8185202318.8271599</c:v>
                </c:pt>
                <c:pt idx="2">
                  <c:v>3445736733.3333335</c:v>
                </c:pt>
                <c:pt idx="3">
                  <c:v>2134473146.9592593</c:v>
                </c:pt>
                <c:pt idx="4">
                  <c:v>1557586590.4074073</c:v>
                </c:pt>
                <c:pt idx="5">
                  <c:v>1434529629.6296294</c:v>
                </c:pt>
                <c:pt idx="6">
                  <c:v>576746973</c:v>
                </c:pt>
                <c:pt idx="7">
                  <c:v>0</c:v>
                </c:pt>
                <c:pt idx="8">
                  <c:v>612591889</c:v>
                </c:pt>
                <c:pt idx="9">
                  <c:v>533617707.37037033</c:v>
                </c:pt>
                <c:pt idx="10">
                  <c:v>586277862.70000005</c:v>
                </c:pt>
                <c:pt idx="11">
                  <c:v>1162767716.8148148</c:v>
                </c:pt>
                <c:pt idx="12">
                  <c:v>456670000</c:v>
                </c:pt>
                <c:pt idx="13">
                  <c:v>0</c:v>
                </c:pt>
                <c:pt idx="14">
                  <c:v>786046963.88888884</c:v>
                </c:pt>
                <c:pt idx="15">
                  <c:v>410266174</c:v>
                </c:pt>
                <c:pt idx="16">
                  <c:v>177966708.33333334</c:v>
                </c:pt>
                <c:pt idx="17">
                  <c:v>4662324855</c:v>
                </c:pt>
                <c:pt idx="18">
                  <c:v>1295673611.1851852</c:v>
                </c:pt>
                <c:pt idx="19">
                  <c:v>0</c:v>
                </c:pt>
                <c:pt idx="20">
                  <c:v>62330365.740740731</c:v>
                </c:pt>
                <c:pt idx="21">
                  <c:v>44979629.629629627</c:v>
                </c:pt>
                <c:pt idx="22">
                  <c:v>23425926</c:v>
                </c:pt>
                <c:pt idx="23">
                  <c:v>6481481.5999999996</c:v>
                </c:pt>
                <c:pt idx="24">
                  <c:v>3666666.6666666665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A-4CD7-8A86-E4C0D67EEC3B}"/>
            </c:ext>
          </c:extLst>
        </c:ser>
        <c:ser>
          <c:idx val="1"/>
          <c:order val="1"/>
          <c:tx>
            <c:strRef>
              <c:f>'BC tuần'!$G$218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tuần'!$E$219:$E$243</c:f>
              <c:strCache>
                <c:ptCount val="25"/>
                <c:pt idx="0">
                  <c:v>Nguyễn Thanh Bình</c:v>
                </c:pt>
                <c:pt idx="1">
                  <c:v>Ngô Thanh Tùng</c:v>
                </c:pt>
                <c:pt idx="2">
                  <c:v>Phạm Nguyên Khánh</c:v>
                </c:pt>
                <c:pt idx="3">
                  <c:v>Nguyễn Lâm Vũ</c:v>
                </c:pt>
                <c:pt idx="4">
                  <c:v>Trần Thị Phương Thảo</c:v>
                </c:pt>
                <c:pt idx="5">
                  <c:v>Đặng Công Bình</c:v>
                </c:pt>
                <c:pt idx="6">
                  <c:v>Trần Tuấn Anh</c:v>
                </c:pt>
                <c:pt idx="7">
                  <c:v>Nguyễn Thị Vân</c:v>
                </c:pt>
                <c:pt idx="8">
                  <c:v>Đỗ Đắc Long</c:v>
                </c:pt>
                <c:pt idx="9">
                  <c:v>Chu Hoàng Nam</c:v>
                </c:pt>
                <c:pt idx="10">
                  <c:v>Vũ Ánh Dương</c:v>
                </c:pt>
                <c:pt idx="11">
                  <c:v>Đinh Ngọc Thịnh</c:v>
                </c:pt>
                <c:pt idx="12">
                  <c:v>Đàm Bình Minh</c:v>
                </c:pt>
                <c:pt idx="13">
                  <c:v>Hồ Hằng</c:v>
                </c:pt>
                <c:pt idx="14">
                  <c:v>Dương Xuân Thái</c:v>
                </c:pt>
                <c:pt idx="15">
                  <c:v>Nguyễn Hoàng Dương</c:v>
                </c:pt>
                <c:pt idx="16">
                  <c:v>Lê Đức Trung Anh</c:v>
                </c:pt>
                <c:pt idx="17">
                  <c:v>Lê Thị Hằng</c:v>
                </c:pt>
                <c:pt idx="18">
                  <c:v>Lê Thị Sao Mai</c:v>
                </c:pt>
                <c:pt idx="19">
                  <c:v>Hà Thị Ngọc</c:v>
                </c:pt>
                <c:pt idx="20">
                  <c:v>Nguyễn Ngọc Mai</c:v>
                </c:pt>
                <c:pt idx="21">
                  <c:v>Ngũ Việt Tuấn</c:v>
                </c:pt>
                <c:pt idx="22">
                  <c:v>Phạm Hoàng Giang</c:v>
                </c:pt>
                <c:pt idx="23">
                  <c:v>Trần Hán Triều</c:v>
                </c:pt>
                <c:pt idx="24">
                  <c:v>Tiêu Chí Quốc</c:v>
                </c:pt>
              </c:strCache>
            </c:strRef>
          </c:cat>
          <c:val>
            <c:numRef>
              <c:f>'BC tuần'!$G$219:$G$243</c:f>
              <c:numCache>
                <c:formatCode>_-* #,##0_-;\-* #,##0_-;_-* "-"??_-;_-@_-</c:formatCode>
                <c:ptCount val="25"/>
                <c:pt idx="0">
                  <c:v>10</c:v>
                </c:pt>
                <c:pt idx="1">
                  <c:v>4</c:v>
                </c:pt>
                <c:pt idx="2">
                  <c:v>13</c:v>
                </c:pt>
                <c:pt idx="3">
                  <c:v>15</c:v>
                </c:pt>
                <c:pt idx="4">
                  <c:v>6</c:v>
                </c:pt>
                <c:pt idx="5">
                  <c:v>4</c:v>
                </c:pt>
                <c:pt idx="6">
                  <c:v>4</c:v>
                </c:pt>
                <c:pt idx="7">
                  <c:v>0</c:v>
                </c:pt>
                <c:pt idx="8">
                  <c:v>2</c:v>
                </c:pt>
                <c:pt idx="9">
                  <c:v>7</c:v>
                </c:pt>
                <c:pt idx="10">
                  <c:v>12</c:v>
                </c:pt>
                <c:pt idx="11">
                  <c:v>12</c:v>
                </c:pt>
                <c:pt idx="12">
                  <c:v>3</c:v>
                </c:pt>
                <c:pt idx="13">
                  <c:v>0</c:v>
                </c:pt>
                <c:pt idx="14">
                  <c:v>6</c:v>
                </c:pt>
                <c:pt idx="15">
                  <c:v>2</c:v>
                </c:pt>
                <c:pt idx="16">
                  <c:v>2</c:v>
                </c:pt>
                <c:pt idx="17">
                  <c:v>3</c:v>
                </c:pt>
                <c:pt idx="18">
                  <c:v>6</c:v>
                </c:pt>
                <c:pt idx="19">
                  <c:v>478</c:v>
                </c:pt>
                <c:pt idx="20">
                  <c:v>654</c:v>
                </c:pt>
                <c:pt idx="21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9A-4CD7-8A86-E4C0D67E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4787976"/>
        <c:axId val="784790024"/>
      </c:barChart>
      <c:catAx>
        <c:axId val="7847879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784790024"/>
        <c:crosses val="autoZero"/>
        <c:auto val="1"/>
        <c:lblAlgn val="ctr"/>
        <c:lblOffset val="100"/>
        <c:noMultiLvlLbl val="0"/>
      </c:catAx>
      <c:valAx>
        <c:axId val="784790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784787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314325</xdr:colOff>
      <xdr:row>0</xdr:row>
      <xdr:rowOff>152400</xdr:rowOff>
    </xdr:from>
    <xdr:to>
      <xdr:col>9</xdr:col>
      <xdr:colOff>847725</xdr:colOff>
      <xdr:row>15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háng tạo">
              <a:extLst>
                <a:ext uri="{FF2B5EF4-FFF2-40B4-BE49-F238E27FC236}">
                  <a16:creationId xmlns:a16="http://schemas.microsoft.com/office/drawing/2014/main" id="{490A5FD8-E72E-2982-F426-D731F78FAB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háng tạ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06350" y="3524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7</xdr:col>
      <xdr:colOff>371475</xdr:colOff>
      <xdr:row>48</xdr:row>
      <xdr:rowOff>152400</xdr:rowOff>
    </xdr:from>
    <xdr:to>
      <xdr:col>9</xdr:col>
      <xdr:colOff>38100</xdr:colOff>
      <xdr:row>62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háng tạo 1">
              <a:extLst>
                <a:ext uri="{FF2B5EF4-FFF2-40B4-BE49-F238E27FC236}">
                  <a16:creationId xmlns:a16="http://schemas.microsoft.com/office/drawing/2014/main" id="{324DA031-EB18-1591-7034-A53EF264FAD2}"/>
                </a:ext>
                <a:ext uri="{147F2762-F138-4A5C-976F-8EAC2B608ADB}">
                  <a16:predDERef xmlns:a16="http://schemas.microsoft.com/office/drawing/2014/main" pred="{490A5FD8-E72E-2982-F426-D731F78FAB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háng tạ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91800" y="59912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10</xdr:col>
      <xdr:colOff>447675</xdr:colOff>
      <xdr:row>1</xdr:row>
      <xdr:rowOff>0</xdr:rowOff>
    </xdr:from>
    <xdr:to>
      <xdr:col>12</xdr:col>
      <xdr:colOff>285750</xdr:colOff>
      <xdr:row>15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Ngày tạo">
              <a:extLst>
                <a:ext uri="{FF2B5EF4-FFF2-40B4-BE49-F238E27FC236}">
                  <a16:creationId xmlns:a16="http://schemas.microsoft.com/office/drawing/2014/main" id="{11F575C1-2F1E-76F3-CC30-C23C99BEEB39}"/>
                </a:ext>
                <a:ext uri="{147F2762-F138-4A5C-976F-8EAC2B608ADB}">
                  <a16:predDERef xmlns:a16="http://schemas.microsoft.com/office/drawing/2014/main" pred="{D5458D9C-1129-AE4F-6C03-FF3A3DBCFD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gày tạ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58525" y="19050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5</xdr:col>
      <xdr:colOff>428625</xdr:colOff>
      <xdr:row>209</xdr:row>
      <xdr:rowOff>133350</xdr:rowOff>
    </xdr:from>
    <xdr:to>
      <xdr:col>7</xdr:col>
      <xdr:colOff>28575</xdr:colOff>
      <xdr:row>222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háng tạo 2">
              <a:extLst>
                <a:ext uri="{FF2B5EF4-FFF2-40B4-BE49-F238E27FC236}">
                  <a16:creationId xmlns:a16="http://schemas.microsoft.com/office/drawing/2014/main" id="{24FEE60E-6C59-0D0E-3498-57FAA8BDAED9}"/>
                </a:ext>
                <a:ext uri="{147F2762-F138-4A5C-976F-8EAC2B608ADB}">
                  <a16:predDERef xmlns:a16="http://schemas.microsoft.com/office/drawing/2014/main" pred="{11F575C1-2F1E-76F3-CC30-C23C99BEEB3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háng tạ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19800" y="375856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933450</xdr:colOff>
      <xdr:row>140</xdr:row>
      <xdr:rowOff>142875</xdr:rowOff>
    </xdr:from>
    <xdr:to>
      <xdr:col>13</xdr:col>
      <xdr:colOff>295275</xdr:colOff>
      <xdr:row>158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F908DB-E736-A2BF-CC90-075418E8F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1219200</xdr:colOff>
      <xdr:row>159</xdr:row>
      <xdr:rowOff>171450</xdr:rowOff>
    </xdr:from>
    <xdr:to>
      <xdr:col>13</xdr:col>
      <xdr:colOff>561975</xdr:colOff>
      <xdr:row>186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6DF458-3434-11A4-63B6-02C749A62B65}"/>
            </a:ext>
            <a:ext uri="{147F2762-F138-4A5C-976F-8EAC2B608ADB}">
              <a16:predDERef xmlns:a16="http://schemas.microsoft.com/office/drawing/2014/main" pred="{26F908DB-E736-A2BF-CC90-075418E8F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523875</xdr:colOff>
      <xdr:row>187</xdr:row>
      <xdr:rowOff>95250</xdr:rowOff>
    </xdr:from>
    <xdr:to>
      <xdr:col>12</xdr:col>
      <xdr:colOff>1600200</xdr:colOff>
      <xdr:row>216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D35B48-6AF2-AA49-FE06-FFE5012336C1}"/>
            </a:ext>
            <a:ext uri="{147F2762-F138-4A5C-976F-8EAC2B608ADB}">
              <a16:predDERef xmlns:a16="http://schemas.microsoft.com/office/drawing/2014/main" pred="{576DF458-3434-11A4-63B6-02C749A62B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971550</xdr:colOff>
      <xdr:row>217</xdr:row>
      <xdr:rowOff>19050</xdr:rowOff>
    </xdr:from>
    <xdr:to>
      <xdr:col>11</xdr:col>
      <xdr:colOff>1333500</xdr:colOff>
      <xdr:row>241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E2AA88-364D-DCB7-CB03-34059A0B3251}"/>
            </a:ext>
            <a:ext uri="{147F2762-F138-4A5C-976F-8EAC2B608ADB}">
              <a16:predDERef xmlns:a16="http://schemas.microsoft.com/office/drawing/2014/main" pred="{EBD35B48-6AF2-AA49-FE06-FFE501233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ơ Nguyễn Thị" id="{4ACD2825-62F2-4031-8EA6-DC2A15E00F61}" userId="S::mont@flexfit.vn::3c40cff2-9115-4eaf-be54-8a0438767e8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04.622807291664" createdVersion="8" refreshedVersion="8" minRefreshableVersion="3" recordCount="494" xr:uid="{2B54ACB1-DB62-4F47-9EFF-B8A96B617BF3}">
  <cacheSource type="worksheet">
    <worksheetSource ref="A1:Y1048576" sheet="Data Doanh số"/>
  </cacheSource>
  <cacheFields count="25">
    <cacheField name="STT" numFmtId="0">
      <sharedItems containsString="0" containsBlank="1" containsNumber="1" containsInteger="1" minValue="1" maxValue="150"/>
    </cacheField>
    <cacheField name="Mã hợp đồng" numFmtId="0">
      <sharedItems containsBlank="1"/>
    </cacheField>
    <cacheField name="Mã HĐ" numFmtId="0">
      <sharedItems containsBlank="1"/>
    </cacheField>
    <cacheField name="Ngày ký HĐ" numFmtId="14">
      <sharedItems containsNonDate="0" containsDate="1" containsString="0" containsBlank="1" minDate="2026-01-05T00:00:00" maxDate="2026-07-01T00:00:00"/>
    </cacheField>
    <cacheField name="Tên khách hàng" numFmtId="0">
      <sharedItems containsBlank="1"/>
    </cacheField>
    <cacheField name="Nguồn Lead" numFmtId="0">
      <sharedItems containsBlank="1"/>
    </cacheField>
    <cacheField name="Nguồn đơn hàng" numFmtId="0">
      <sharedItems containsBlank="1" count="15">
        <s v="Customer"/>
        <s v="Facebook"/>
        <s v="Reference"/>
        <s v="Website"/>
        <s v="Zalo"/>
        <s v="Partner"/>
        <s v="TMĐT"/>
        <s v="Sale tự kiếm"/>
        <s v="Hotline"/>
        <s v="Shome"/>
        <s v="Holding"/>
        <m/>
        <s v="Tiktok" u="1"/>
        <s v="Website TMĐT" u="1"/>
        <s v="Facebook TMĐT" u="1"/>
      </sharedItems>
    </cacheField>
    <cacheField name="Dự án" numFmtId="0">
      <sharedItems containsBlank="1"/>
    </cacheField>
    <cacheField name="Loại hợp đồng" numFmtId="0">
      <sharedItems containsBlank="1" count="7">
        <s v="Gia công"/>
        <s v="Thiết kế"/>
        <s v="Thi công"/>
        <s v="Thuê nội thất"/>
        <s v="Đồ rời"/>
        <s v="Hợp đồng khung"/>
        <m/>
      </sharedItems>
    </cacheField>
    <cacheField name="Doanh số trước VAT" numFmtId="0">
      <sharedItems containsString="0" containsBlank="1" containsNumber="1" minValue="886546.14814814995" maxValue="7826111986.1111107"/>
    </cacheField>
    <cacheField name="Doanh số sau VAT" numFmtId="0">
      <sharedItems containsString="0" containsBlank="1" containsNumber="1" minValue="957469.84000000206" maxValue="8452200945"/>
    </cacheField>
    <cacheField name="Doanh số HĐ Khung" numFmtId="0">
      <sharedItems containsString="0" containsBlank="1" containsNumber="1" containsInteger="1" minValue="200000000" maxValue="1600000000"/>
    </cacheField>
    <cacheField name="Giá mua (tạm tính)" numFmtId="0">
      <sharedItems containsString="0" containsBlank="1" containsNumber="1" minValue="0" maxValue="6417411828.6111107"/>
    </cacheField>
    <cacheField name="Margin tạm tính" numFmtId="0">
      <sharedItems containsString="0" containsBlank="1" containsNumber="1" minValue="0.1" maxValue="1"/>
    </cacheField>
    <cacheField name="Gross Profit_x000a_(Lợi nhuận gộp)" numFmtId="0">
      <sharedItems containsString="0" containsBlank="1" containsNumber="1" minValue="555555.5555555555" maxValue="1408700157.4999998"/>
    </cacheField>
    <cacheField name="Nhân viên kinh doanh" numFmtId="0">
      <sharedItems containsBlank="1" count="38">
        <s v="Nguyễn Hoàng Dương"/>
        <s v="Nguyễn Lâm Vũ"/>
        <s v="Lê Đức Trung Anh"/>
        <s v="Đặng Công Bình"/>
        <s v="Dương Xuân Thái"/>
        <s v="Vũ Ánh Dương"/>
        <s v="Nguyễn Thanh Bình"/>
        <s v="Đinh Ngọc Thịnh"/>
        <s v="Đỗ Đắc Long"/>
        <s v="Ngũ Việt Tuấn"/>
        <s v="Trần Thị Phương Thảo"/>
        <s v="Lê Thị Sao Mai"/>
        <s v="Nguyễn Ngọc Mai"/>
        <s v="Tiêu Chí Quốc"/>
        <s v="Nguyễn Kiều Vân"/>
        <s v="Chu Hoàng Nam"/>
        <s v="Phạm Nguyên Khánh"/>
        <s v="Trần Tuấn Anh"/>
        <s v="Hà Thị Ngọc TMĐT"/>
        <s v="Ngô Thanh Tùng"/>
        <s v="Đàm Bình Minh"/>
        <s v="Hồ Thị Thu Hằng"/>
        <s v="Phạm Hoàng Giang"/>
        <s v="Trần Hán Triều"/>
        <s v="Lê Thị Hằng"/>
        <s v="Hoàng Xuân Sơn"/>
        <s v="Đàm Minh Hải"/>
        <s v="Nguyễn Ngọc Thanh"/>
        <s v="Nguyễn Thị Khánh Ly"/>
        <m/>
        <s v="Nguyễn Thị Vân" u="1"/>
        <s v="Hồ Hằng" u="1"/>
        <s v="Hà Thị Ngọc" u="1"/>
        <s v="Đặng Kiều Trang" u="1"/>
        <s v="Nguyễn Đức Hội" u="1"/>
        <s v="Trần Thiên Minh" u="1"/>
        <s v="Đặng Công Bình " u="1"/>
        <s v="Chị Thơ" u="1"/>
      </sharedItems>
    </cacheField>
    <cacheField name="Phòng ban" numFmtId="0">
      <sharedItems containsBlank="1" count="18">
        <s v="BU HCM"/>
        <s v="BU 1"/>
        <s v="BU 2"/>
        <s v="BU 3"/>
        <s v="TMĐT"/>
        <m/>
        <s v="BU1" u="1"/>
        <s v="BU2" u="1"/>
        <s v="BU3" u="1"/>
        <s v="RETAIL 1" u="1"/>
        <s v="KD-MN" u="1"/>
        <s v="RETAIL 3" u="1"/>
        <s v="RETAIL 4" u="1"/>
        <s v="FACTORY SALE" u="1"/>
        <s v="RETAIL 2" u="1"/>
        <s v="PTKD&amp;TMĐT" u="1"/>
        <s v="RETAIL 1A" u="1"/>
        <s v="Factory Sales" u="1"/>
      </sharedItems>
    </cacheField>
    <cacheField name="Nhu cầu" numFmtId="0">
      <sharedItems containsBlank="1" count="9">
        <s v="Làm nội thất lần đầu"/>
        <s v="Cải tạo thô + nội thất"/>
        <s v="Cải tạo nội thất"/>
        <s v="Cải tạo thô"/>
        <s v="Khác"/>
        <s v="Thuê nội thất"/>
        <m/>
        <s v="Cải tạo thô + nội thất " u="1"/>
        <s v="Thi công" u="1"/>
      </sharedItems>
    </cacheField>
    <cacheField name="Loại đơn hàng" numFmtId="0">
      <sharedItems containsBlank="1" count="3">
        <s v="B2B"/>
        <s v="B2C"/>
        <m/>
      </sharedItems>
    </cacheField>
    <cacheField name="Địa chỉ" numFmtId="0">
      <sharedItems containsBlank="1"/>
    </cacheField>
    <cacheField name="Loại hình căn hộ" numFmtId="0">
      <sharedItems containsDate="1" containsBlank="1" containsMixedTypes="1" minDate="2024-10-14T10:54:24" maxDate="2026-05-14T08:42:50" count="15">
        <s v="Văn phòng"/>
        <s v="Nhà mặt đất"/>
        <s v="Chung cư"/>
        <s v="Villa/ Biệt thự"/>
        <s v="Khách sạn"/>
        <s v="Showroom"/>
        <s v="Trường học"/>
        <s v="Loại hình khác"/>
        <m/>
        <s v="Biệt thự/Villa" u="1"/>
        <d v="2026-04-09T16:09:34" u="1"/>
        <d v="2024-10-14T10:54:24" u="1"/>
        <d v="2026-05-14T08:42:50" u="1"/>
        <s v="Khác" u="1"/>
        <s v="Nhà đất" u="1"/>
      </sharedItems>
    </cacheField>
    <cacheField name="Ngày tạo cơ hội" numFmtId="14">
      <sharedItems containsDate="1" containsBlank="1" containsMixedTypes="1" minDate="2024-10-14T00:00:00" maxDate="2026-06-24T00:00:00"/>
    </cacheField>
    <cacheField name="Năm tạo" numFmtId="0">
      <sharedItems containsString="0" containsBlank="1" containsNumber="1" containsInteger="1" minValue="2026" maxValue="2026"/>
    </cacheField>
    <cacheField name="Tháng tạo" numFmtId="0">
      <sharedItems containsString="0" containsBlank="1" containsNumber="1" containsInteger="1" minValue="1" maxValue="6" count="7">
        <n v="1"/>
        <n v="2"/>
        <n v="3"/>
        <n v="4"/>
        <n v="5"/>
        <n v="6"/>
        <m/>
      </sharedItems>
    </cacheField>
    <cacheField name="Ngày tạo" numFmtId="0">
      <sharedItems containsString="0" containsBlank="1" containsNumber="1" containsInteger="1" minValue="2" maxValue="31" count="31">
        <n v="5"/>
        <n v="8"/>
        <n v="14"/>
        <n v="16"/>
        <n v="19"/>
        <n v="20"/>
        <n v="22"/>
        <n v="23"/>
        <n v="26"/>
        <n v="28"/>
        <n v="29"/>
        <n v="31"/>
        <n v="2"/>
        <n v="6"/>
        <n v="7"/>
        <n v="9"/>
        <n v="11"/>
        <n v="24"/>
        <n v="25"/>
        <n v="27"/>
        <n v="10"/>
        <n v="18"/>
        <n v="21"/>
        <n v="30"/>
        <n v="3"/>
        <n v="4"/>
        <n v="17"/>
        <n v="12"/>
        <n v="13"/>
        <n v="15"/>
        <m/>
      </sharedItems>
    </cacheField>
  </cacheFields>
  <extLst>
    <ext xmlns:x14="http://schemas.microsoft.com/office/spreadsheetml/2009/9/main" uri="{725AE2AE-9491-48be-B2B4-4EB974FC3084}">
      <x14:pivotCacheDefinition pivotCacheId="104560912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04.622807523148" createdVersion="8" refreshedVersion="8" minRefreshableVersion="3" recordCount="125" xr:uid="{78B8758A-C969-4BCE-8A77-555D62AA9D8B}">
  <cacheSource type="worksheet">
    <worksheetSource ref="A1:Y1048576" sheet="HĐ Khung chuyển đổi TC"/>
  </cacheSource>
  <cacheFields count="25">
    <cacheField name="STT" numFmtId="0">
      <sharedItems containsString="0" containsBlank="1" containsNumber="1" containsInteger="1" minValue="1" maxValue="13"/>
    </cacheField>
    <cacheField name="Mã hợp đồng" numFmtId="0">
      <sharedItems containsBlank="1"/>
    </cacheField>
    <cacheField name="Mã HĐ " numFmtId="0">
      <sharedItems containsBlank="1"/>
    </cacheField>
    <cacheField name="Ngày ký HĐ" numFmtId="0">
      <sharedItems containsNonDate="0" containsDate="1" containsString="0" containsBlank="1" minDate="2026-03-06T00:00:00" maxDate="2026-05-17T00:00:00"/>
    </cacheField>
    <cacheField name="Tên khách hàng" numFmtId="0">
      <sharedItems containsBlank="1"/>
    </cacheField>
    <cacheField name="Nguồn Lead" numFmtId="0">
      <sharedItems containsBlank="1"/>
    </cacheField>
    <cacheField name="Nguồn đơn hàng" numFmtId="0">
      <sharedItems containsBlank="1"/>
    </cacheField>
    <cacheField name="Loại hợp đồng" numFmtId="0">
      <sharedItems containsBlank="1"/>
    </cacheField>
    <cacheField name="Doanh số trước VAT" numFmtId="0">
      <sharedItems containsString="0" containsBlank="1" containsNumber="1" minValue="53205178.703703701" maxValue="5555555555.5555553"/>
    </cacheField>
    <cacheField name="Doanh số sau VAT" numFmtId="0">
      <sharedItems containsString="0" containsBlank="1" containsNumber="1" minValue="57461593" maxValue="6000000000"/>
    </cacheField>
    <cacheField name="Doanh số HĐ Khung" numFmtId="0">
      <sharedItems containsNonDate="0" containsString="0" containsBlank="1"/>
    </cacheField>
    <cacheField name="Nhân viên kinh doanh" numFmtId="0">
      <sharedItems containsBlank="1"/>
    </cacheField>
    <cacheField name="Phòng ban" numFmtId="0">
      <sharedItems containsBlank="1" count="4">
        <s v="BU 2"/>
        <s v="BU 1"/>
        <s v="BU 3"/>
        <m/>
      </sharedItems>
    </cacheField>
    <cacheField name="Nhu cầu" numFmtId="0">
      <sharedItems containsBlank="1"/>
    </cacheField>
    <cacheField name="Loại đơn hàng" numFmtId="0">
      <sharedItems containsBlank="1"/>
    </cacheField>
    <cacheField name="Địa chỉ" numFmtId="0">
      <sharedItems containsBlank="1"/>
    </cacheField>
    <cacheField name="Loại hình căn hộ" numFmtId="0">
      <sharedItems containsBlank="1"/>
    </cacheField>
    <cacheField name="Ngày tạo cơ hội" numFmtId="0">
      <sharedItems containsDate="1" containsBlank="1" containsMixedTypes="1" minDate="2026-01-05T00:00:00" maxDate="2026-01-06T00:00:00"/>
    </cacheField>
    <cacheField name="Năm tạo" numFmtId="0">
      <sharedItems containsString="0" containsBlank="1" containsNumber="1" containsInteger="1" minValue="2026" maxValue="2026"/>
    </cacheField>
    <cacheField name="Tháng tạo" numFmtId="0">
      <sharedItems containsString="0" containsBlank="1" containsNumber="1" containsInteger="1" minValue="3" maxValue="5"/>
    </cacheField>
    <cacheField name="Ngày tạo" numFmtId="0">
      <sharedItems containsString="0" containsBlank="1" containsNumber="1" containsInteger="1" minValue="6" maxValue="30"/>
    </cacheField>
    <cacheField name="Tuần" numFmtId="0">
      <sharedItems containsBlank="1"/>
    </cacheField>
    <cacheField name="Quý" numFmtId="0">
      <sharedItems containsBlank="1"/>
    </cacheField>
    <cacheField name="Nguồn" numFmtId="0">
      <sharedItems containsBlank="1"/>
    </cacheField>
    <cacheField name="Năm ký HĐ Khung" numFmtId="0">
      <sharedItems containsString="0" containsBlank="1" containsNumber="1" containsInteger="1" minValue="2025" maxValue="2026" count="3">
        <n v="2025"/>
        <n v="2026"/>
        <m/>
      </sharedItems>
    </cacheField>
  </cacheFields>
  <extLst>
    <ext xmlns:x14="http://schemas.microsoft.com/office/spreadsheetml/2009/9/main" uri="{725AE2AE-9491-48be-B2B4-4EB974FC3084}">
      <x14:pivotCacheDefinition pivotCacheId="209098992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n v="1"/>
    <s v="51B2B2601002"/>
    <s v="51B2B2601002"/>
    <d v="2026-01-05T00:00:00"/>
    <s v="Fursys"/>
    <s v="Customer"/>
    <x v="0"/>
    <m/>
    <x v="0"/>
    <n v="123000000"/>
    <n v="132840000"/>
    <m/>
    <n v="107010000"/>
    <n v="0.13"/>
    <n v="15990000"/>
    <x v="0"/>
    <x v="0"/>
    <x v="0"/>
    <x v="0"/>
    <s v="TP Hồ Chí Minh"/>
    <x v="0"/>
    <d v="2026-01-05T00:00:00"/>
    <n v="2026"/>
    <x v="0"/>
    <x v="0"/>
  </r>
  <r>
    <n v="2"/>
    <s v="29B2B2512062"/>
    <s v="29B2B2512062 - HĐTK"/>
    <d v="2026-01-05T00:00:00"/>
    <s v="Lưu Thu Hoài"/>
    <s v="Facebook"/>
    <x v="1"/>
    <m/>
    <x v="1"/>
    <n v="11111111"/>
    <n v="12000000"/>
    <m/>
    <n v="5555555.5"/>
    <n v="0.5"/>
    <n v="5555555.5"/>
    <x v="1"/>
    <x v="1"/>
    <x v="1"/>
    <x v="1"/>
    <s v="Hà Nội"/>
    <x v="1"/>
    <s v="19/12/2025"/>
    <n v="2026"/>
    <x v="0"/>
    <x v="0"/>
  </r>
  <r>
    <n v="3"/>
    <s v="29B2B2512062"/>
    <s v="29B2C2512062 - HĐTC"/>
    <d v="2026-01-05T00:00:00"/>
    <s v="Chị Hoài - Gardenia Hàm Nghi"/>
    <s v="Facebook"/>
    <x v="1"/>
    <m/>
    <x v="2"/>
    <n v="206074074.07407406"/>
    <n v="222560000"/>
    <m/>
    <n v="136008888.8888889"/>
    <n v="0.34"/>
    <n v="70065185.185185179"/>
    <x v="1"/>
    <x v="1"/>
    <x v="1"/>
    <x v="1"/>
    <s v="Hà Nội"/>
    <x v="1"/>
    <s v="19/12/2025"/>
    <n v="2026"/>
    <x v="0"/>
    <x v="0"/>
  </r>
  <r>
    <n v="4"/>
    <s v="30B2C2601005"/>
    <s v="30B2C2601005"/>
    <d v="2026-01-08T00:00:00"/>
    <s v="anh Tuấn chị Linh"/>
    <s v="Facebook"/>
    <x v="1"/>
    <m/>
    <x v="1"/>
    <n v="20833333.333333332"/>
    <n v="22500000"/>
    <m/>
    <n v="10416666.666666666"/>
    <n v="0.5"/>
    <n v="10416666.666666666"/>
    <x v="2"/>
    <x v="2"/>
    <x v="1"/>
    <x v="1"/>
    <s v="Hà Nội - Tây Hồ"/>
    <x v="1"/>
    <d v="2026-01-07T00:00:00"/>
    <n v="2026"/>
    <x v="0"/>
    <x v="1"/>
  </r>
  <r>
    <n v="5"/>
    <s v="29B2C2511024"/>
    <s v="29B2C2511024_Chênh HĐ Khung"/>
    <d v="2026-01-08T00:00:00"/>
    <s v="Nguyễn Văn Công (Anh Công Home City)"/>
    <s v="Facebook"/>
    <x v="1"/>
    <m/>
    <x v="2"/>
    <n v="180833333.33333331"/>
    <n v="195300000"/>
    <m/>
    <n v="133816666.66666666"/>
    <n v="0.26"/>
    <n v="47016666.666666664"/>
    <x v="3"/>
    <x v="3"/>
    <x v="2"/>
    <x v="1"/>
    <s v="Hà Nội"/>
    <x v="1"/>
    <d v="2025-11-09T14:07:24"/>
    <n v="2026"/>
    <x v="0"/>
    <x v="1"/>
  </r>
  <r>
    <n v="6"/>
    <s v="30B2C2601006"/>
    <s v="30B2C2601006 - HĐTK"/>
    <d v="2026-01-14T00:00:00"/>
    <s v="Phương Linh"/>
    <s v="Facebook"/>
    <x v="1"/>
    <m/>
    <x v="1"/>
    <n v="13597222.222222222"/>
    <n v="14685000"/>
    <m/>
    <n v="6798611.111111111"/>
    <n v="0.5"/>
    <n v="6798611.111111111"/>
    <x v="4"/>
    <x v="3"/>
    <x v="0"/>
    <x v="1"/>
    <s v="Hà Nội - Long Biên"/>
    <x v="2"/>
    <d v="2026-01-05T09:21:33"/>
    <n v="2026"/>
    <x v="0"/>
    <x v="2"/>
  </r>
  <r>
    <n v="7"/>
    <s v="30B2C2601006"/>
    <s v="30B2C2601006 - HĐTC"/>
    <d v="2026-01-14T00:00:00"/>
    <s v="Chị Linh - Khai Sơn"/>
    <s v="Facebook"/>
    <x v="1"/>
    <m/>
    <x v="2"/>
    <n v="233418491.66666666"/>
    <n v="252091971"/>
    <m/>
    <n v="186734793.33333331"/>
    <n v="0.2"/>
    <n v="46683698.333333336"/>
    <x v="4"/>
    <x v="3"/>
    <x v="0"/>
    <x v="1"/>
    <s v="Hà Nội - Long Biên"/>
    <x v="2"/>
    <d v="2026-01-05T09:21:33"/>
    <n v="2026"/>
    <x v="0"/>
    <x v="2"/>
  </r>
  <r>
    <n v="8"/>
    <s v="51EAZ2601008"/>
    <s v="51EAZ2601008"/>
    <d v="2026-01-16T00:00:00"/>
    <s v="Đoàn Trung Thiên Ân"/>
    <s v="Facebook"/>
    <x v="1"/>
    <m/>
    <x v="3"/>
    <n v="6922000"/>
    <n v="7475760"/>
    <m/>
    <n v="2076600"/>
    <n v="0.7"/>
    <n v="4845400"/>
    <x v="5"/>
    <x v="1"/>
    <x v="2"/>
    <x v="1"/>
    <s v="TP Hồ Chí Minh"/>
    <x v="2"/>
    <d v="2026-01-16T16:43:34"/>
    <n v="2026"/>
    <x v="0"/>
    <x v="3"/>
  </r>
  <r>
    <n v="9"/>
    <s v="15B2C2503026"/>
    <s v="15B2C2503026 - PL04 đồ rời"/>
    <d v="2026-01-19T00:00:00"/>
    <s v="Bác sĩ Hà - HP"/>
    <s v="Facebook"/>
    <x v="1"/>
    <m/>
    <x v="4"/>
    <n v="186953296"/>
    <n v="201909560"/>
    <m/>
    <n v="145823570.88"/>
    <n v="0.22"/>
    <n v="41129725.119999997"/>
    <x v="5"/>
    <x v="1"/>
    <x v="2"/>
    <x v="1"/>
    <s v="Hải Phòng"/>
    <x v="3"/>
    <d v="2025-11-28T00:00:00"/>
    <n v="2026"/>
    <x v="0"/>
    <x v="4"/>
  </r>
  <r>
    <n v="10"/>
    <s v="51B2C2601012"/>
    <s v="51B2C2601012"/>
    <d v="2026-01-19T00:00:00"/>
    <s v="Anh Quang Villa"/>
    <s v="Reference"/>
    <x v="2"/>
    <m/>
    <x v="2"/>
    <n v="651700420"/>
    <n v="703836453.60000002"/>
    <m/>
    <n v="521360336"/>
    <n v="0.2"/>
    <n v="130340084"/>
    <x v="6"/>
    <x v="0"/>
    <x v="1"/>
    <x v="1"/>
    <s v="TP Hồ Chí Minh"/>
    <x v="3"/>
    <d v="2025-11-19T00:00:00"/>
    <n v="2026"/>
    <x v="0"/>
    <x v="4"/>
  </r>
  <r>
    <n v="11"/>
    <s v="29B2C2601007"/>
    <s v="29B2C2601007"/>
    <d v="2026-01-20T00:00:00"/>
    <s v="Chú Hùng - Ngoại Giao Đoàn"/>
    <s v="Facebook"/>
    <x v="0"/>
    <m/>
    <x v="2"/>
    <n v="337115981"/>
    <n v="364085259"/>
    <m/>
    <n v="256208145.56"/>
    <n v="0.24"/>
    <n v="80907835.439999998"/>
    <x v="7"/>
    <x v="1"/>
    <x v="2"/>
    <x v="1"/>
    <s v="Hà Nội - Từ Liêm"/>
    <x v="2"/>
    <d v="2025-09-03T00:00:00"/>
    <n v="2026"/>
    <x v="0"/>
    <x v="5"/>
  </r>
  <r>
    <n v="12"/>
    <s v="99B2C2601012"/>
    <s v="99B2C2601012"/>
    <d v="2026-01-20T00:00:00"/>
    <s v="anh Quang - Bắc Ninh"/>
    <s v="Facebook"/>
    <x v="1"/>
    <m/>
    <x v="2"/>
    <n v="328703000"/>
    <n v="354999240"/>
    <m/>
    <n v="262962400"/>
    <n v="0.2"/>
    <n v="65740600"/>
    <x v="8"/>
    <x v="1"/>
    <x v="2"/>
    <x v="1"/>
    <s v="Bắc Ninh"/>
    <x v="1"/>
    <d v="2025-11-11T00:00:00"/>
    <n v="2026"/>
    <x v="0"/>
    <x v="5"/>
  </r>
  <r>
    <n v="13"/>
    <s v="17B2C2601016"/>
    <s v="17B2C2601016 - HĐTK"/>
    <d v="2026-01-22T00:00:00"/>
    <s v="anh Tiến Thái Bình"/>
    <s v="Website"/>
    <x v="3"/>
    <m/>
    <x v="1"/>
    <n v="2750000"/>
    <n v="2970000"/>
    <m/>
    <n v="1375000"/>
    <n v="0.5"/>
    <n v="1375000"/>
    <x v="9"/>
    <x v="3"/>
    <x v="0"/>
    <x v="1"/>
    <s v="Hà Nội"/>
    <x v="1"/>
    <d v="2026-01-16T00:00:00"/>
    <n v="2026"/>
    <x v="0"/>
    <x v="6"/>
  </r>
  <r>
    <n v="14"/>
    <s v="17B2C2601016"/>
    <s v="17B2C2601016 - HĐTC"/>
    <d v="2026-01-22T00:00:00"/>
    <s v="anh Tiến - Thái Bình"/>
    <s v="Website"/>
    <x v="3"/>
    <m/>
    <x v="2"/>
    <n v="42229629.629629627"/>
    <n v="45608000"/>
    <m/>
    <n v="29560740.740740739"/>
    <n v="0.3"/>
    <n v="12668888.888888888"/>
    <x v="9"/>
    <x v="3"/>
    <x v="0"/>
    <x v="1"/>
    <s v="Hà Nội"/>
    <x v="1"/>
    <d v="2026-01-16T00:00:00"/>
    <n v="2026"/>
    <x v="0"/>
    <x v="6"/>
  </r>
  <r>
    <n v="15"/>
    <s v="51B2B2506024"/>
    <s v="51B2B2506024 - Phát sinh thêm"/>
    <d v="2026-01-23T00:00:00"/>
    <s v="anh Hoài Anh"/>
    <s v="Zalo"/>
    <x v="4"/>
    <m/>
    <x v="2"/>
    <n v="86677670"/>
    <n v="93611884"/>
    <m/>
    <n v="73676019.5"/>
    <n v="0.15"/>
    <n v="13001650.5"/>
    <x v="6"/>
    <x v="0"/>
    <x v="2"/>
    <x v="1"/>
    <s v="Hồ Chí Minh"/>
    <x v="1"/>
    <d v="2026-01-23T00:00:00"/>
    <n v="2026"/>
    <x v="0"/>
    <x v="7"/>
  </r>
  <r>
    <n v="16"/>
    <s v="51B2C2601016"/>
    <s v="51B2C2601016"/>
    <d v="2026-01-23T00:00:00"/>
    <s v="Bàn họp B&amp;A Phạm Hùng"/>
    <s v="Partner"/>
    <x v="5"/>
    <m/>
    <x v="2"/>
    <n v="21540000"/>
    <n v="23263200"/>
    <m/>
    <n v="17016600"/>
    <n v="0.21"/>
    <n v="4523400"/>
    <x v="6"/>
    <x v="0"/>
    <x v="0"/>
    <x v="0"/>
    <s v="Hà Nội"/>
    <x v="0"/>
    <d v="2026-01-23T00:00:00"/>
    <n v="2026"/>
    <x v="0"/>
    <x v="7"/>
  </r>
  <r>
    <n v="17"/>
    <s v="29B2C2601015"/>
    <s v="29B2C2601015 - HĐTK"/>
    <d v="2026-01-26T00:00:00"/>
    <s v="Chị My Đông Anh"/>
    <s v="Facebook"/>
    <x v="1"/>
    <m/>
    <x v="1"/>
    <n v="25194444.444444444"/>
    <n v="27210000"/>
    <m/>
    <n v="12597222.222222222"/>
    <n v="0.5"/>
    <n v="12597222.222222222"/>
    <x v="10"/>
    <x v="1"/>
    <x v="1"/>
    <x v="1"/>
    <s v="Hà Nội"/>
    <x v="1"/>
    <d v="2026-01-20T00:00:00"/>
    <n v="2026"/>
    <x v="0"/>
    <x v="8"/>
  </r>
  <r>
    <n v="18"/>
    <s v="29B2C2601015"/>
    <s v="29B2C2601015 - HĐTC"/>
    <d v="2026-01-26T00:00:00"/>
    <s v="Chị My - Đông Anh"/>
    <s v="Facebook"/>
    <x v="1"/>
    <m/>
    <x v="2"/>
    <n v="419351162.96296293"/>
    <n v="452899256"/>
    <m/>
    <n v="327093907.11111104"/>
    <n v="0.22"/>
    <n v="92257255.851851851"/>
    <x v="10"/>
    <x v="1"/>
    <x v="1"/>
    <x v="1"/>
    <s v="Hà Nội"/>
    <x v="1"/>
    <d v="2026-01-20T00:00:00"/>
    <n v="2026"/>
    <x v="0"/>
    <x v="8"/>
  </r>
  <r>
    <n v="19"/>
    <s v="51B2C2601018"/>
    <s v="51B2C2601018"/>
    <d v="2026-01-28T00:00:00"/>
    <s v="Anh Thương Q7"/>
    <s v="Reference"/>
    <x v="2"/>
    <m/>
    <x v="2"/>
    <n v="287266174"/>
    <n v="310247468"/>
    <m/>
    <n v="249921571.38"/>
    <n v="0.13"/>
    <n v="37344602.620000005"/>
    <x v="0"/>
    <x v="0"/>
    <x v="1"/>
    <x v="1"/>
    <s v="Hồ Chí Minh"/>
    <x v="2"/>
    <d v="2026-01-29T00:00:00"/>
    <n v="2026"/>
    <x v="0"/>
    <x v="9"/>
  </r>
  <r>
    <n v="20"/>
    <s v="29B2C2601019"/>
    <s v="29B2C2601019"/>
    <d v="2026-01-29T00:00:00"/>
    <s v="Phạm Phượng"/>
    <s v="Facebook"/>
    <x v="1"/>
    <m/>
    <x v="1"/>
    <n v="10694444.444444444"/>
    <n v="11550000"/>
    <m/>
    <n v="8555555.555555556"/>
    <n v="0.2"/>
    <n v="2138888.888888889"/>
    <x v="11"/>
    <x v="1"/>
    <x v="1"/>
    <x v="1"/>
    <s v="Hà Nội"/>
    <x v="2"/>
    <d v="2026-01-27T00:00:00"/>
    <n v="2026"/>
    <x v="0"/>
    <x v="10"/>
  </r>
  <r>
    <n v="21"/>
    <m/>
    <s v="Doanh số TMĐT Tháng 1"/>
    <d v="2026-01-31T00:00:00"/>
    <s v="Doanh số TMĐT tháng 1"/>
    <s v="TMĐT"/>
    <x v="6"/>
    <m/>
    <x v="4"/>
    <n v="8238292.5925925924"/>
    <n v="8897356"/>
    <m/>
    <m/>
    <m/>
    <m/>
    <x v="12"/>
    <x v="4"/>
    <x v="0"/>
    <x v="1"/>
    <s v="Hà Nội"/>
    <x v="2"/>
    <m/>
    <n v="2026"/>
    <x v="0"/>
    <x v="11"/>
  </r>
  <r>
    <n v="22"/>
    <s v="29B2C2512056"/>
    <s v="29B2C2512056"/>
    <d v="2026-02-02T00:00:00"/>
    <s v="Nguyễn Ngân"/>
    <s v="Facebook"/>
    <x v="1"/>
    <m/>
    <x v="5"/>
    <n v="92592593"/>
    <n v="100000000"/>
    <m/>
    <m/>
    <m/>
    <m/>
    <x v="5"/>
    <x v="1"/>
    <x v="2"/>
    <x v="1"/>
    <s v="Hà Nội"/>
    <x v="1"/>
    <d v="2025-12-03T00:00:00"/>
    <n v="2026"/>
    <x v="1"/>
    <x v="12"/>
  </r>
  <r>
    <n v="23"/>
    <s v="29B2B2602005"/>
    <s v="29B2B2602005"/>
    <d v="2026-02-02T00:00:00"/>
    <s v="Văn phòng DDV"/>
    <s v="Reference"/>
    <x v="2"/>
    <m/>
    <x v="2"/>
    <n v="19097222"/>
    <n v="20625000"/>
    <m/>
    <n v="9548611"/>
    <n v="0.5"/>
    <n v="9548611"/>
    <x v="5"/>
    <x v="1"/>
    <x v="1"/>
    <x v="0"/>
    <s v="Hà Nội"/>
    <x v="0"/>
    <d v="2026-02-25T00:00:00"/>
    <n v="2026"/>
    <x v="1"/>
    <x v="12"/>
  </r>
  <r>
    <n v="24"/>
    <s v="51B2C2602022"/>
    <s v="51B2C2602022"/>
    <d v="2026-02-05T00:00:00"/>
    <s v="Thuỳ Nhung"/>
    <s v="Zalo"/>
    <x v="4"/>
    <m/>
    <x v="1"/>
    <n v="3666666.6666666665"/>
    <n v="3960000"/>
    <m/>
    <n v="1833333.3333333333"/>
    <n v="0.5"/>
    <n v="1833333.3333333333"/>
    <x v="13"/>
    <x v="0"/>
    <x v="2"/>
    <x v="1"/>
    <s v="Hồ Chí Minh"/>
    <x v="2"/>
    <d v="2026-01-28T00:00:00"/>
    <n v="2026"/>
    <x v="1"/>
    <x v="0"/>
  </r>
  <r>
    <n v="25"/>
    <s v="29B2C2601010"/>
    <s v="29B2C2601010 - HĐTK"/>
    <d v="2026-02-05T00:00:00"/>
    <s v="Dũng Thảo - Cầu Giấy"/>
    <s v="Facebook"/>
    <x v="1"/>
    <m/>
    <x v="1"/>
    <n v="35185185.185185187"/>
    <n v="38000000"/>
    <m/>
    <n v="17592592.592592593"/>
    <n v="0.5"/>
    <n v="17592592.592592593"/>
    <x v="3"/>
    <x v="3"/>
    <x v="1"/>
    <x v="1"/>
    <s v="Hà Nội"/>
    <x v="2"/>
    <d v="2026-01-05T00:00:00"/>
    <n v="2026"/>
    <x v="1"/>
    <x v="0"/>
  </r>
  <r>
    <n v="26"/>
    <s v="29B2C2601010"/>
    <s v="29B2C2601010 - HĐTC Thô"/>
    <d v="2026-02-05T00:00:00"/>
    <s v="Dũng Thảo - Cầu Giấy"/>
    <s v="Facebook"/>
    <x v="1"/>
    <m/>
    <x v="2"/>
    <n v="368849437.96296293"/>
    <n v="398357393"/>
    <m/>
    <n v="313522022.26851851"/>
    <n v="0.15"/>
    <n v="55327415.69444444"/>
    <x v="14"/>
    <x v="3"/>
    <x v="1"/>
    <x v="1"/>
    <s v="Hà Nội"/>
    <x v="2"/>
    <d v="2026-01-05T00:00:00"/>
    <n v="2026"/>
    <x v="1"/>
    <x v="0"/>
  </r>
  <r>
    <n v="24"/>
    <s v="29B2C2602001"/>
    <s v="29B2C2602001"/>
    <d v="2026-02-05T00:00:00"/>
    <s v="Chị Thơ"/>
    <s v="Sale tự kiếm"/>
    <x v="7"/>
    <m/>
    <x v="5"/>
    <n v="1111111111.1111109"/>
    <n v="1200000000"/>
    <m/>
    <m/>
    <m/>
    <m/>
    <x v="3"/>
    <x v="3"/>
    <x v="1"/>
    <x v="1"/>
    <s v="Hà Nội"/>
    <x v="2"/>
    <d v="2025-12-05T00:00:00"/>
    <n v="2026"/>
    <x v="1"/>
    <x v="0"/>
  </r>
  <r>
    <n v="28"/>
    <s v="51EAZ2602002"/>
    <s v="51EAZ2602002"/>
    <d v="2026-02-06T00:00:00"/>
    <s v="Lê Thanh Hải"/>
    <s v="Facebook"/>
    <x v="1"/>
    <m/>
    <x v="3"/>
    <n v="7051852"/>
    <n v="7616000"/>
    <m/>
    <n v="2115555.6000000006"/>
    <n v="0.7"/>
    <n v="4936296.3999999994"/>
    <x v="5"/>
    <x v="1"/>
    <x v="2"/>
    <x v="1"/>
    <s v="Hồ Chí Minh"/>
    <x v="2"/>
    <m/>
    <n v="2026"/>
    <x v="1"/>
    <x v="13"/>
  </r>
  <r>
    <n v="29"/>
    <m/>
    <s v="Doanh số TMĐT M2"/>
    <d v="2026-02-07T00:00:00"/>
    <s v="Doanh số TMĐT Tháng 2"/>
    <s v="TMĐT"/>
    <x v="6"/>
    <m/>
    <x v="4"/>
    <n v="54092073.148148142"/>
    <n v="58419439"/>
    <m/>
    <m/>
    <m/>
    <m/>
    <x v="12"/>
    <x v="4"/>
    <x v="0"/>
    <x v="1"/>
    <s v="Hà Nội"/>
    <x v="2"/>
    <m/>
    <n v="2026"/>
    <x v="1"/>
    <x v="14"/>
  </r>
  <r>
    <n v="30"/>
    <s v="89B2C2601009"/>
    <s v="89B2C2601009"/>
    <d v="2026-02-09T00:00:00"/>
    <s v="Tra Nguyen"/>
    <s v="Facebook"/>
    <x v="1"/>
    <m/>
    <x v="1"/>
    <n v="109662037"/>
    <n v="118435000"/>
    <m/>
    <n v="83343148.120000005"/>
    <n v="0.24"/>
    <n v="26318888.879999999"/>
    <x v="15"/>
    <x v="1"/>
    <x v="0"/>
    <x v="1"/>
    <s v="Hưng Yên"/>
    <x v="1"/>
    <d v="2025-11-10T00:00:00"/>
    <n v="2026"/>
    <x v="1"/>
    <x v="15"/>
  </r>
  <r>
    <n v="31"/>
    <s v="29B2C2601020"/>
    <s v="29B2C2601020"/>
    <d v="2026-02-09T00:00:00"/>
    <s v="Nguyen Phan Tuan Anh"/>
    <s v="Facebook"/>
    <x v="1"/>
    <m/>
    <x v="5"/>
    <n v="92592593"/>
    <n v="100000000"/>
    <m/>
    <m/>
    <m/>
    <m/>
    <x v="3"/>
    <x v="3"/>
    <x v="1"/>
    <x v="1"/>
    <s v="Hà Nội"/>
    <x v="1"/>
    <d v="2026-01-26T00:00:00"/>
    <n v="2026"/>
    <x v="1"/>
    <x v="15"/>
  </r>
  <r>
    <n v="32"/>
    <s v="51B2C2601021"/>
    <s v="51B2C2601021"/>
    <d v="2026-02-11T00:00:00"/>
    <s v="Phát sinh Anh Quang Villa"/>
    <s v="Giới thiệu"/>
    <x v="0"/>
    <m/>
    <x v="2"/>
    <n v="71395400"/>
    <n v="77107032"/>
    <m/>
    <n v="57116320"/>
    <n v="0.2"/>
    <n v="14279080"/>
    <x v="6"/>
    <x v="0"/>
    <x v="2"/>
    <x v="1"/>
    <s v="Hồ Chí Minh"/>
    <x v="1"/>
    <d v="2026-01-25T00:00:00"/>
    <n v="2026"/>
    <x v="1"/>
    <x v="16"/>
  </r>
  <r>
    <n v="33"/>
    <s v="29B2C2602010"/>
    <s v="29B2C2602010 - HĐTK"/>
    <d v="2026-02-24T00:00:00"/>
    <s v="Đường Xuân Diệu"/>
    <s v="Facebook"/>
    <x v="1"/>
    <m/>
    <x v="1"/>
    <n v="3703703.7037037034"/>
    <n v="4000000"/>
    <m/>
    <n v="1481481.4814814813"/>
    <n v="0.6"/>
    <n v="2222222.222222222"/>
    <x v="1"/>
    <x v="1"/>
    <x v="2"/>
    <x v="1"/>
    <s v="Hà Nội"/>
    <x v="2"/>
    <d v="2026-01-02T00:00:00"/>
    <n v="2026"/>
    <x v="1"/>
    <x v="17"/>
  </r>
  <r>
    <n v="34"/>
    <s v="29B2C2602010"/>
    <s v="29B2C2602010 - HĐTC"/>
    <d v="2026-02-24T00:00:00"/>
    <s v="Anh Diệu - 671 Hoàng Hoa Thám"/>
    <s v="Facebook"/>
    <x v="1"/>
    <m/>
    <x v="2"/>
    <n v="73240740.740740731"/>
    <n v="79100000"/>
    <m/>
    <n v="53465740.740740731"/>
    <n v="0.27"/>
    <n v="19775000"/>
    <x v="1"/>
    <x v="1"/>
    <x v="2"/>
    <x v="1"/>
    <s v="Hà Nội"/>
    <x v="2"/>
    <d v="2026-01-02T00:00:00"/>
    <n v="2026"/>
    <x v="1"/>
    <x v="17"/>
  </r>
  <r>
    <n v="35"/>
    <s v="29B2C2601014"/>
    <s v="29B2C2601014"/>
    <d v="2026-02-25T00:00:00"/>
    <s v="Trang Nguyễn"/>
    <s v="Facebook"/>
    <x v="1"/>
    <m/>
    <x v="1"/>
    <n v="6111111.111111111"/>
    <n v="6600000"/>
    <m/>
    <n v="2444444.4444444445"/>
    <n v="0.6"/>
    <n v="3666666.6666666665"/>
    <x v="16"/>
    <x v="2"/>
    <x v="0"/>
    <x v="1"/>
    <s v="Hưng Yên"/>
    <x v="2"/>
    <d v="2026-01-19T00:00:00"/>
    <n v="2026"/>
    <x v="1"/>
    <x v="18"/>
  </r>
  <r>
    <n v="36"/>
    <s v="29B2C2601014"/>
    <s v="29B2C2601014 - HĐTC"/>
    <d v="2026-02-25T00:00:00"/>
    <s v="Chị Trang Ecopark"/>
    <s v="Facebook"/>
    <x v="1"/>
    <m/>
    <x v="2"/>
    <n v="53205178.703703701"/>
    <n v="57461593"/>
    <m/>
    <n v="37243625.09259259"/>
    <n v="0.3"/>
    <n v="15961553.61111111"/>
    <x v="16"/>
    <x v="2"/>
    <x v="0"/>
    <x v="1"/>
    <s v="Hưng Yên"/>
    <x v="2"/>
    <d v="2026-01-19T00:00:00"/>
    <n v="2026"/>
    <x v="1"/>
    <x v="18"/>
  </r>
  <r>
    <n v="37"/>
    <s v="29B2B2602003"/>
    <s v="29B2B2602003 - HĐTK"/>
    <d v="2026-02-27T00:00:00"/>
    <s v="Hà Minh Huệ"/>
    <s v="Facebook"/>
    <x v="1"/>
    <m/>
    <x v="1"/>
    <n v="2777777.7777777775"/>
    <n v="3000000"/>
    <m/>
    <n v="1111111.111111111"/>
    <n v="0.6"/>
    <n v="1666666.6666666665"/>
    <x v="11"/>
    <x v="1"/>
    <x v="0"/>
    <x v="0"/>
    <s v="Hà Nội"/>
    <x v="2"/>
    <d v="2026-01-24T00:00:00"/>
    <n v="2026"/>
    <x v="1"/>
    <x v="19"/>
  </r>
  <r>
    <n v="38"/>
    <s v="29B2B2602003"/>
    <s v="29B2B2602003 - HĐTC"/>
    <d v="2026-02-27T00:00:00"/>
    <s v="Chị Minh Huệ - Phùng Chí Kiên"/>
    <s v="Facebook"/>
    <x v="1"/>
    <m/>
    <x v="2"/>
    <n v="28240740.740740739"/>
    <n v="30500000"/>
    <m/>
    <n v="22027777.777777776"/>
    <n v="0.22"/>
    <n v="6212962.9629629627"/>
    <x v="11"/>
    <x v="1"/>
    <x v="0"/>
    <x v="0"/>
    <s v="Hà Nội"/>
    <x v="2"/>
    <d v="2026-01-25T00:00:00"/>
    <n v="2026"/>
    <x v="1"/>
    <x v="19"/>
  </r>
  <r>
    <n v="39"/>
    <s v="29B2B2602011"/>
    <s v="29B2B2602011"/>
    <d v="2026-02-27T00:00:00"/>
    <s v="Hà Thế Mạnh"/>
    <s v="Facebook"/>
    <x v="1"/>
    <m/>
    <x v="5"/>
    <n v="277777778"/>
    <n v="300000000"/>
    <m/>
    <m/>
    <m/>
    <m/>
    <x v="8"/>
    <x v="1"/>
    <x v="2"/>
    <x v="1"/>
    <s v="Bắc Ninh - Từ Sơn"/>
    <x v="1"/>
    <d v="2026-01-29T00:00:00"/>
    <n v="2026"/>
    <x v="1"/>
    <x v="19"/>
  </r>
  <r>
    <m/>
    <s v="29B2C2602004"/>
    <s v="29B2C2602004 - HĐTK"/>
    <d v="2026-02-27T00:00:00"/>
    <s v="Chị Hảo"/>
    <s v="Hotline"/>
    <x v="8"/>
    <m/>
    <x v="1"/>
    <n v="8333333.333333333"/>
    <n v="9000000"/>
    <m/>
    <n v="3333333.333333333"/>
    <n v="0.6"/>
    <n v="5000000"/>
    <x v="16"/>
    <x v="2"/>
    <x v="0"/>
    <x v="1"/>
    <s v="Hà Nội"/>
    <x v="2"/>
    <d v="2025-12-25T00:00:00"/>
    <n v="2026"/>
    <x v="1"/>
    <x v="19"/>
  </r>
  <r>
    <n v="41"/>
    <s v="29B2C2602004"/>
    <s v="29B2C2602004 - HĐTC"/>
    <d v="2026-02-27T00:00:00"/>
    <s v="Chị Hảo - Vinsmart"/>
    <s v="Hotline"/>
    <x v="8"/>
    <m/>
    <x v="2"/>
    <n v="62801758.333333328"/>
    <n v="67825899"/>
    <m/>
    <n v="47101318.75"/>
    <n v="0.25"/>
    <n v="15700439.583333332"/>
    <x v="16"/>
    <x v="2"/>
    <x v="0"/>
    <x v="1"/>
    <s v="Hà Nội"/>
    <x v="2"/>
    <d v="2025-12-25T00:00:00"/>
    <n v="2026"/>
    <x v="1"/>
    <x v="19"/>
  </r>
  <r>
    <n v="42"/>
    <s v="15B2C2602012"/>
    <s v="15B2C2602012 - HĐTK"/>
    <d v="2026-03-02T00:00:00"/>
    <s v="Chị Thảo Minato"/>
    <s v="Sale tự kiếm"/>
    <x v="7"/>
    <m/>
    <x v="1"/>
    <n v="8775000"/>
    <n v="9477000"/>
    <m/>
    <n v="6142500"/>
    <n v="0.3"/>
    <n v="2632500"/>
    <x v="17"/>
    <x v="3"/>
    <x v="0"/>
    <x v="1"/>
    <s v="Hải Phòng"/>
    <x v="2"/>
    <d v="2026-03-02T00:00:00"/>
    <n v="2026"/>
    <x v="2"/>
    <x v="12"/>
  </r>
  <r>
    <n v="43"/>
    <s v="29B2C2603004"/>
    <s v="29B2C2603004 - HĐTK"/>
    <d v="2026-03-05T00:00:00"/>
    <s v="Phạm Công Thành"/>
    <s v="Facebook"/>
    <x v="1"/>
    <m/>
    <x v="1"/>
    <n v="2777778"/>
    <n v="3000000"/>
    <m/>
    <n v="1944444.6"/>
    <n v="0.3"/>
    <n v="833333.4"/>
    <x v="15"/>
    <x v="1"/>
    <x v="2"/>
    <x v="1"/>
    <s v="Hà Nội"/>
    <x v="1"/>
    <d v="2026-03-02T00:00:00"/>
    <n v="2026"/>
    <x v="2"/>
    <x v="0"/>
  </r>
  <r>
    <n v="44"/>
    <s v="29B2C2603003"/>
    <s v="29B2C2603003 - HĐTK"/>
    <d v="2026-03-05T00:00:00"/>
    <s v="anh Phong"/>
    <s v="Zalo"/>
    <x v="4"/>
    <m/>
    <x v="1"/>
    <n v="11851852"/>
    <n v="12800000"/>
    <n v="250000000"/>
    <n v="7703703.8000000007"/>
    <n v="0.35"/>
    <n v="4148148.1999999997"/>
    <x v="5"/>
    <x v="1"/>
    <x v="2"/>
    <x v="1"/>
    <s v="Hà Nội"/>
    <x v="2"/>
    <d v="2025-12-15T00:00:00"/>
    <n v="2026"/>
    <x v="2"/>
    <x v="0"/>
  </r>
  <r>
    <n v="45"/>
    <s v="51B2B2511001"/>
    <s v="51B2B2511001 - PS"/>
    <d v="2026-03-06T00:00:00"/>
    <s v="DNP Phát sinh"/>
    <s v="Reference"/>
    <x v="0"/>
    <m/>
    <x v="2"/>
    <n v="68913000"/>
    <n v="74426040"/>
    <m/>
    <n v="62021700"/>
    <n v="0.1"/>
    <n v="6891300"/>
    <x v="6"/>
    <x v="0"/>
    <x v="2"/>
    <x v="0"/>
    <s v="Đồng Nai"/>
    <x v="0"/>
    <d v="2026-03-06T00:00:00"/>
    <n v="2026"/>
    <x v="2"/>
    <x v="13"/>
  </r>
  <r>
    <n v="46"/>
    <s v="51B2C2601012"/>
    <s v="51B2C2601012 - PS"/>
    <d v="2026-03-06T00:00:00"/>
    <s v="Anh Quang Villa"/>
    <s v="Reference"/>
    <x v="0"/>
    <m/>
    <x v="2"/>
    <n v="55550000"/>
    <n v="59994000"/>
    <m/>
    <n v="45551000"/>
    <n v="0.18"/>
    <n v="9999000"/>
    <x v="6"/>
    <x v="0"/>
    <x v="2"/>
    <x v="1"/>
    <s v="Hồ Chí Minh"/>
    <x v="1"/>
    <d v="2026-03-06T00:00:00"/>
    <n v="2026"/>
    <x v="2"/>
    <x v="13"/>
  </r>
  <r>
    <n v="47"/>
    <m/>
    <s v="Doanh số TMĐT M3W1"/>
    <d v="2026-03-07T00:00:00"/>
    <s v="Doanh số TMĐT M3W1"/>
    <s v="TMĐT"/>
    <x v="6"/>
    <m/>
    <x v="4"/>
    <n v="3227523.1481481479"/>
    <n v="3485725"/>
    <m/>
    <m/>
    <m/>
    <m/>
    <x v="18"/>
    <x v="4"/>
    <x v="0"/>
    <x v="1"/>
    <m/>
    <x v="2"/>
    <m/>
    <n v="2026"/>
    <x v="2"/>
    <x v="14"/>
  </r>
  <r>
    <n v="48"/>
    <s v="29B2C2603011"/>
    <s v="29B2C2603011 - HĐTK"/>
    <d v="2026-03-10T00:00:00"/>
    <s v="Chị Lan"/>
    <s v="Hotline"/>
    <x v="8"/>
    <m/>
    <x v="1"/>
    <n v="2777778"/>
    <n v="3000000"/>
    <m/>
    <n v="1944444.6"/>
    <n v="0.3"/>
    <n v="833333.4"/>
    <x v="5"/>
    <x v="1"/>
    <x v="2"/>
    <x v="1"/>
    <s v="Hà Nội"/>
    <x v="2"/>
    <d v="2026-02-25T00:00:00"/>
    <n v="2026"/>
    <x v="2"/>
    <x v="20"/>
  </r>
  <r>
    <n v="49"/>
    <s v="29B2C2603010"/>
    <s v="29B2C2603010 - HĐTK"/>
    <d v="2026-03-10T00:00:00"/>
    <s v="Cô Oanh Đội Cấn"/>
    <s v="Sale tự kiếm"/>
    <x v="7"/>
    <m/>
    <x v="1"/>
    <n v="60958333"/>
    <n v="65835000"/>
    <n v="1600000000"/>
    <n v="42670833.100000001"/>
    <n v="0.3"/>
    <n v="18287499.899999999"/>
    <x v="7"/>
    <x v="1"/>
    <x v="0"/>
    <x v="1"/>
    <s v="Hà Nội - Ba Đình"/>
    <x v="1"/>
    <d v="2026-03-11T00:00:00"/>
    <n v="2026"/>
    <x v="2"/>
    <x v="20"/>
  </r>
  <r>
    <n v="50"/>
    <s v="29B2C2603012"/>
    <s v="29B2C2603012 - HĐTK"/>
    <d v="2026-03-11T00:00:00"/>
    <s v="Văn Thanh Phương"/>
    <s v="Facebook"/>
    <x v="1"/>
    <m/>
    <x v="1"/>
    <n v="12725000"/>
    <n v="13743000"/>
    <m/>
    <n v="7635000"/>
    <n v="0.4"/>
    <n v="5090000"/>
    <x v="15"/>
    <x v="1"/>
    <x v="0"/>
    <x v="1"/>
    <s v="Hà Nội"/>
    <x v="2"/>
    <d v="2026-03-06T00:00:00"/>
    <n v="2026"/>
    <x v="2"/>
    <x v="16"/>
  </r>
  <r>
    <n v="51"/>
    <s v="29REN2603001"/>
    <s v="29REN2603001"/>
    <d v="2026-03-14T00:00:00"/>
    <s v="Chị Trang HP"/>
    <s v="Facebook"/>
    <x v="1"/>
    <m/>
    <x v="3"/>
    <n v="108311713"/>
    <n v="116976650"/>
    <m/>
    <n v="43324685.200000003"/>
    <n v="0.6"/>
    <n v="64987027.799999997"/>
    <x v="5"/>
    <x v="1"/>
    <x v="0"/>
    <x v="1"/>
    <s v="Hải Phòng"/>
    <x v="4"/>
    <d v="2026-03-14T00:00:00"/>
    <n v="2026"/>
    <x v="2"/>
    <x v="2"/>
  </r>
  <r>
    <n v="52"/>
    <s v="29B2C2603013"/>
    <s v="29B2C2603013"/>
    <d v="2026-03-14T00:00:00"/>
    <s v="Chị Nga - Ứng Hòa"/>
    <s v="Shome"/>
    <x v="9"/>
    <m/>
    <x v="2"/>
    <n v="223953518.51851851"/>
    <n v="241869800"/>
    <m/>
    <n v="176923279.62962961"/>
    <n v="0.21"/>
    <n v="47030238.888888888"/>
    <x v="16"/>
    <x v="2"/>
    <x v="0"/>
    <x v="1"/>
    <s v="Hà Nội"/>
    <x v="1"/>
    <d v="2026-03-14T00:00:00"/>
    <n v="2026"/>
    <x v="2"/>
    <x v="2"/>
  </r>
  <r>
    <n v="53"/>
    <m/>
    <s v="Doanh số TMĐT M3W2"/>
    <d v="2026-03-14T00:00:00"/>
    <s v="Doanh số TMĐT M3W2"/>
    <s v="TMĐT"/>
    <x v="6"/>
    <m/>
    <x v="4"/>
    <n v="4202895.3703703703"/>
    <n v="4539127"/>
    <m/>
    <m/>
    <m/>
    <m/>
    <x v="18"/>
    <x v="4"/>
    <x v="0"/>
    <x v="1"/>
    <m/>
    <x v="2"/>
    <m/>
    <n v="2026"/>
    <x v="2"/>
    <x v="2"/>
  </r>
  <r>
    <n v="54"/>
    <s v="29B2C2603015"/>
    <s v="29B2C2603015"/>
    <d v="2026-03-16T00:00:00"/>
    <s v="Nguyễn Việt Hoàng"/>
    <s v="Facebook"/>
    <x v="1"/>
    <m/>
    <x v="1"/>
    <n v="6111111"/>
    <n v="6600000"/>
    <n v="200000000"/>
    <n v="3666666.6"/>
    <n v="0.4"/>
    <n v="2444444.4"/>
    <x v="8"/>
    <x v="1"/>
    <x v="1"/>
    <x v="1"/>
    <s v="Hà Nội"/>
    <x v="2"/>
    <d v="2026-03-09T00:00:00"/>
    <n v="2026"/>
    <x v="2"/>
    <x v="3"/>
  </r>
  <r>
    <n v="55"/>
    <s v="29B2C2603014"/>
    <s v="29B2C2603014"/>
    <d v="2026-03-16T00:00:00"/>
    <s v="Anh Hà - Nghi Tàm"/>
    <s v="Facebook"/>
    <x v="1"/>
    <m/>
    <x v="1"/>
    <n v="9259259.2592592593"/>
    <n v="10000000"/>
    <m/>
    <n v="0"/>
    <n v="1"/>
    <n v="9259259.2592592593"/>
    <x v="16"/>
    <x v="2"/>
    <x v="2"/>
    <x v="1"/>
    <s v="Hà Nội"/>
    <x v="1"/>
    <d v="2026-03-09T00:00:00"/>
    <n v="2026"/>
    <x v="2"/>
    <x v="3"/>
  </r>
  <r>
    <n v="56"/>
    <s v="29B2C2603008"/>
    <s v="29B2C2603008"/>
    <d v="2026-03-18T00:00:00"/>
    <s v="Anh Đạt - Thăng Long Number 1"/>
    <s v="Facebook"/>
    <x v="1"/>
    <m/>
    <x v="2"/>
    <n v="157133375"/>
    <n v="169704045"/>
    <m/>
    <n v="122564032.5"/>
    <n v="0.22"/>
    <n v="34569342.5"/>
    <x v="2"/>
    <x v="2"/>
    <x v="1"/>
    <x v="1"/>
    <s v="Hà Nội"/>
    <x v="2"/>
    <d v="2026-03-01T00:00:00"/>
    <n v="2026"/>
    <x v="2"/>
    <x v="21"/>
  </r>
  <r>
    <n v="57"/>
    <s v="29B2C2603017"/>
    <s v="29B2C2603017 - HĐTK"/>
    <d v="2026-03-18T00:00:00"/>
    <s v="Chị Phương Anh (anh Tùng)"/>
    <s v="Facebook"/>
    <x v="1"/>
    <m/>
    <x v="1"/>
    <n v="2222222"/>
    <n v="2400000"/>
    <m/>
    <n v="1199999.8799999999"/>
    <n v="0.46"/>
    <n v="1022222.12"/>
    <x v="16"/>
    <x v="2"/>
    <x v="1"/>
    <x v="1"/>
    <s v="Hà Nội"/>
    <x v="1"/>
    <d v="2026-03-05T00:00:00"/>
    <n v="2026"/>
    <x v="2"/>
    <x v="21"/>
  </r>
  <r>
    <n v="58"/>
    <s v="29B2C2603017"/>
    <s v="29B2C2603017 - HĐTC Thô"/>
    <d v="2026-03-18T00:00:00"/>
    <s v="Chị Phương Anh - Đê La Thành (anh Tùng)"/>
    <s v="Facebook"/>
    <x v="1"/>
    <m/>
    <x v="2"/>
    <n v="74832500"/>
    <n v="80819100"/>
    <m/>
    <n v="59866000"/>
    <n v="0.2"/>
    <n v="14966500"/>
    <x v="16"/>
    <x v="2"/>
    <x v="1"/>
    <x v="1"/>
    <s v="Hà Nội"/>
    <x v="1"/>
    <d v="2026-03-05T00:00:00"/>
    <n v="2026"/>
    <x v="2"/>
    <x v="21"/>
  </r>
  <r>
    <n v="59"/>
    <s v="29B2C2603018"/>
    <s v="29B2C2603018 - HĐTK"/>
    <d v="2026-03-19T00:00:00"/>
    <s v="MS NHI - ROYAL CITY"/>
    <s v="Facebook"/>
    <x v="1"/>
    <m/>
    <x v="1"/>
    <n v="2777778"/>
    <n v="3000000"/>
    <m/>
    <n v="1944444.6"/>
    <n v="0.3"/>
    <n v="833333.4"/>
    <x v="10"/>
    <x v="1"/>
    <x v="2"/>
    <x v="1"/>
    <s v="Hà Nội"/>
    <x v="2"/>
    <d v="2026-03-12T00:00:00"/>
    <n v="2026"/>
    <x v="2"/>
    <x v="4"/>
  </r>
  <r>
    <n v="60"/>
    <s v="29B2C2512056"/>
    <s v="29B2C2512056 _x000a_Chênh lệch GTHĐ Khung"/>
    <d v="2026-03-20T00:00:00"/>
    <s v="Cô Thuận - Cầu Giấy"/>
    <s v="Reference"/>
    <x v="2"/>
    <m/>
    <x v="2"/>
    <n v="1297390727.7777777"/>
    <n v="1401181986"/>
    <m/>
    <n v="1115756025.8888888"/>
    <n v="0.14000000000000001"/>
    <n v="181634701.8888889"/>
    <x v="19"/>
    <x v="3"/>
    <x v="0"/>
    <x v="1"/>
    <s v="Hà Nội"/>
    <x v="1"/>
    <m/>
    <n v="2026"/>
    <x v="2"/>
    <x v="5"/>
  </r>
  <r>
    <n v="61"/>
    <m/>
    <s v="Doanh số TMĐT M3W3"/>
    <d v="2026-03-21T00:00:00"/>
    <s v="Doanh số TMĐT M3W3"/>
    <s v="TMĐT"/>
    <x v="6"/>
    <m/>
    <x v="4"/>
    <n v="15359383.333333332"/>
    <n v="16588134"/>
    <m/>
    <m/>
    <m/>
    <m/>
    <x v="18"/>
    <x v="4"/>
    <x v="0"/>
    <x v="1"/>
    <s v="Hà Nội"/>
    <x v="1"/>
    <m/>
    <n v="2026"/>
    <x v="2"/>
    <x v="22"/>
  </r>
  <r>
    <n v="62"/>
    <s v="29B2C2603004"/>
    <s v="29B2C2603004 - HĐTC"/>
    <d v="2026-03-23T00:00:00"/>
    <s v="Anh Thành - ĐH Mỏ Địa Chất"/>
    <s v="Facebook"/>
    <x v="1"/>
    <m/>
    <x v="2"/>
    <n v="30971411"/>
    <n v="33449124"/>
    <m/>
    <n v="22918844.140000001"/>
    <n v="0.26"/>
    <n v="8052566.8600000003"/>
    <x v="15"/>
    <x v="1"/>
    <x v="0"/>
    <x v="1"/>
    <s v="Hà Nội"/>
    <x v="1"/>
    <d v="2026-03-02T00:00:00"/>
    <n v="2026"/>
    <x v="2"/>
    <x v="7"/>
  </r>
  <r>
    <n v="63"/>
    <s v="29B2C2603021"/>
    <s v="29B2C2603021 - HĐTK"/>
    <d v="2026-03-23T00:00:00"/>
    <s v="Trần Ngọc Hưởng"/>
    <s v="Sale tự kiếm"/>
    <x v="0"/>
    <m/>
    <x v="1"/>
    <n v="2777778"/>
    <n v="3000000"/>
    <m/>
    <n v="1944444.6"/>
    <n v="0.3"/>
    <n v="833333.4"/>
    <x v="16"/>
    <x v="2"/>
    <x v="2"/>
    <x v="1"/>
    <s v="Hà Nội - Hoài Đức"/>
    <x v="1"/>
    <d v="2026-03-23T00:00:00"/>
    <n v="2026"/>
    <x v="2"/>
    <x v="7"/>
  </r>
  <r>
    <n v="64"/>
    <s v="29B2C2603016"/>
    <s v="29B2C2603016 - HĐTK"/>
    <d v="2026-03-24T00:00:00"/>
    <s v="CÔNG TY TNHH PHÂN PHỐI RC ODV ( ANH HẬU BT6 - 96 NGUYỄN HUY TƯỞNG)"/>
    <s v="Sale tự kiếm"/>
    <x v="7"/>
    <m/>
    <x v="1"/>
    <n v="2777778"/>
    <n v="3000000"/>
    <m/>
    <n v="1944444.6"/>
    <n v="0.3"/>
    <n v="833333.4"/>
    <x v="5"/>
    <x v="1"/>
    <x v="0"/>
    <x v="0"/>
    <s v="Hà Nội"/>
    <x v="5"/>
    <d v="2026-03-24T00:00:00"/>
    <n v="2026"/>
    <x v="2"/>
    <x v="17"/>
  </r>
  <r>
    <n v="65"/>
    <s v="29B2B2603001"/>
    <s v="29B2B2603001"/>
    <d v="2026-03-26T00:00:00"/>
    <s v="anh Trường (Công ty Viên Ba)"/>
    <s v="Hotline"/>
    <x v="8"/>
    <m/>
    <x v="0"/>
    <n v="20555555.555555556"/>
    <n v="22200000"/>
    <m/>
    <n v="14800000"/>
    <n v="0.28000000000000003"/>
    <n v="5755555.555555556"/>
    <x v="16"/>
    <x v="2"/>
    <x v="0"/>
    <x v="0"/>
    <s v="Hà Nội"/>
    <x v="0"/>
    <d v="2026-03-20T00:00:00"/>
    <n v="2026"/>
    <x v="2"/>
    <x v="8"/>
  </r>
  <r>
    <n v="66"/>
    <s v="15B2C2603025"/>
    <s v="15B2C2603025"/>
    <d v="2026-03-27T00:00:00"/>
    <s v="Anh Khoa - Sentosa căn hộ 2724"/>
    <s v="Sale tự kiếm"/>
    <x v="7"/>
    <m/>
    <x v="2"/>
    <n v="36240875"/>
    <n v="39140145"/>
    <m/>
    <n v="25368612.5"/>
    <n v="0.3"/>
    <n v="10872262.5"/>
    <x v="7"/>
    <x v="1"/>
    <x v="0"/>
    <x v="1"/>
    <s v="Hải Phòng"/>
    <x v="2"/>
    <d v="2026-03-26T00:00:00"/>
    <n v="2026"/>
    <x v="2"/>
    <x v="19"/>
  </r>
  <r>
    <n v="67"/>
    <s v="51B2C2603028"/>
    <s v="51B2C2603028 - HĐTK"/>
    <d v="2026-03-28T00:00:00"/>
    <s v="Nguyễn Tấn Phát"/>
    <s v="Facebook"/>
    <x v="1"/>
    <m/>
    <x v="1"/>
    <n v="9000000"/>
    <n v="9720000"/>
    <m/>
    <n v="6300000"/>
    <n v="0.3"/>
    <n v="2700000"/>
    <x v="20"/>
    <x v="0"/>
    <x v="0"/>
    <x v="1"/>
    <s v="Hồ Chí Minh"/>
    <x v="2"/>
    <d v="2026-03-21T00:00:00"/>
    <n v="2026"/>
    <x v="2"/>
    <x v="9"/>
  </r>
  <r>
    <n v="68"/>
    <s v="51B2B2603026"/>
    <s v="51B2B2603026 - HĐTK"/>
    <d v="2026-03-29T00:00:00"/>
    <s v="Netnam HCM"/>
    <s v="Customer"/>
    <x v="0"/>
    <m/>
    <x v="1"/>
    <n v="76963000"/>
    <n v="83120040"/>
    <m/>
    <n v="61570400"/>
    <n v="0.2"/>
    <n v="15392600"/>
    <x v="21"/>
    <x v="0"/>
    <x v="2"/>
    <x v="0"/>
    <s v="Hồ Chí Minh"/>
    <x v="0"/>
    <m/>
    <n v="2026"/>
    <x v="2"/>
    <x v="10"/>
  </r>
  <r>
    <n v="69"/>
    <s v="51B2B2603027"/>
    <s v="51B2B2603027"/>
    <d v="2026-03-30T00:00:00"/>
    <s v="Khách sạn Phú Quốc Gói 1"/>
    <s v="Customer"/>
    <x v="0"/>
    <m/>
    <x v="2"/>
    <n v="7826111986.1111107"/>
    <n v="8452200945"/>
    <m/>
    <n v="6417411828.6111107"/>
    <n v="0.18"/>
    <n v="1408700157.4999998"/>
    <x v="6"/>
    <x v="0"/>
    <x v="2"/>
    <x v="0"/>
    <s v="Phú Quốc"/>
    <x v="4"/>
    <d v="2026-03-06T00:00:00"/>
    <n v="2026"/>
    <x v="2"/>
    <x v="23"/>
  </r>
  <r>
    <n v="70"/>
    <s v="29B2C2603033"/>
    <s v="29B2C2603033"/>
    <d v="2026-03-30T00:00:00"/>
    <s v="Thu Huyền"/>
    <s v="Facebook"/>
    <x v="1"/>
    <m/>
    <x v="1"/>
    <n v="23425926"/>
    <n v="25300000"/>
    <m/>
    <n v="16398148.199999999"/>
    <n v="0.3"/>
    <n v="7027777.7999999998"/>
    <x v="22"/>
    <x v="2"/>
    <x v="1"/>
    <x v="1"/>
    <s v="Hà Nội"/>
    <x v="1"/>
    <d v="2026-02-28T00:00:00"/>
    <n v="2026"/>
    <x v="2"/>
    <x v="23"/>
  </r>
  <r>
    <n v="71"/>
    <m/>
    <s v="Doanh số TMĐT M3W4"/>
    <d v="2026-03-31T00:00:00"/>
    <s v="Doanh số TMĐT M3W4"/>
    <s v="TMĐT"/>
    <x v="6"/>
    <m/>
    <x v="4"/>
    <n v="10936995.370370369"/>
    <n v="11811955"/>
    <m/>
    <m/>
    <m/>
    <m/>
    <x v="18"/>
    <x v="4"/>
    <x v="0"/>
    <x v="1"/>
    <s v="Hà Nội"/>
    <x v="1"/>
    <m/>
    <n v="2026"/>
    <x v="2"/>
    <x v="11"/>
  </r>
  <r>
    <n v="72"/>
    <s v="51B2B2603026"/>
    <s v="51B2B2603026 - HĐTC (BU HCM)"/>
    <d v="2026-03-31T00:00:00"/>
    <s v="Netnam HCM"/>
    <s v="Customer"/>
    <x v="0"/>
    <m/>
    <x v="2"/>
    <n v="991921637"/>
    <n v="1071275367.96"/>
    <m/>
    <n v="833214175.07999992"/>
    <n v="0.16"/>
    <n v="158707461.92000002"/>
    <x v="6"/>
    <x v="0"/>
    <x v="2"/>
    <x v="0"/>
    <s v="Hồ Chí Minh"/>
    <x v="0"/>
    <m/>
    <n v="2026"/>
    <x v="2"/>
    <x v="11"/>
  </r>
  <r>
    <n v="73"/>
    <s v="51B2B2603026"/>
    <s v="51B2B2603026 - HĐTC (BU 1)"/>
    <d v="2026-03-31T00:00:00"/>
    <s v="Netnam HCM"/>
    <s v="Customer"/>
    <x v="0"/>
    <m/>
    <x v="2"/>
    <n v="991921637"/>
    <n v="1071275367.96"/>
    <m/>
    <n v="833214175.07999992"/>
    <n v="0.16"/>
    <n v="158707461.92000002"/>
    <x v="10"/>
    <x v="1"/>
    <x v="2"/>
    <x v="0"/>
    <s v="Hồ Chí Minh"/>
    <x v="0"/>
    <m/>
    <n v="2026"/>
    <x v="2"/>
    <x v="11"/>
  </r>
  <r>
    <n v="74"/>
    <s v="15B2C2603025"/>
    <s v="15B2C2603025 - PL03"/>
    <d v="2026-03-31T00:00:00"/>
    <s v="Anh Khoa - Sentosa căn hộ 2725"/>
    <s v="Sale tự kiếm"/>
    <x v="7"/>
    <m/>
    <x v="2"/>
    <n v="40674745"/>
    <n v="43928725"/>
    <m/>
    <n v="28472321.5"/>
    <n v="0.3"/>
    <n v="12202423.5"/>
    <x v="7"/>
    <x v="1"/>
    <x v="0"/>
    <x v="1"/>
    <s v="Hải Phòng"/>
    <x v="2"/>
    <d v="2026-03-26T00:00:00"/>
    <n v="2026"/>
    <x v="2"/>
    <x v="11"/>
  </r>
  <r>
    <n v="75"/>
    <s v="29B2C2603018"/>
    <s v="29B2C2603018 - HĐTC"/>
    <d v="2026-03-31T00:00:00"/>
    <s v="Chị Nhi - Royal City"/>
    <s v="Facebook"/>
    <x v="1"/>
    <m/>
    <x v="2"/>
    <n v="118341568"/>
    <n v="127808893"/>
    <m/>
    <n v="88756176"/>
    <n v="0.25"/>
    <n v="29585392"/>
    <x v="10"/>
    <x v="1"/>
    <x v="2"/>
    <x v="1"/>
    <s v="Hà Nội"/>
    <x v="2"/>
    <d v="2026-03-12T00:00:00"/>
    <n v="2026"/>
    <x v="2"/>
    <x v="11"/>
  </r>
  <r>
    <n v="76"/>
    <s v="29B2C2603030"/>
    <s v="29B2C2603030 - HĐTK"/>
    <d v="2026-03-31T00:00:00"/>
    <s v="Na Nông (Chị Hạnh Cổ Nhuế)"/>
    <s v="Facebook"/>
    <x v="1"/>
    <m/>
    <x v="1"/>
    <n v="12222222"/>
    <n v="13200000"/>
    <m/>
    <n v="6111111"/>
    <n v="0.5"/>
    <n v="6111111"/>
    <x v="1"/>
    <x v="1"/>
    <x v="1"/>
    <x v="1"/>
    <s v="Hà Nội"/>
    <x v="1"/>
    <d v="2026-03-08T00:00:00"/>
    <n v="2026"/>
    <x v="2"/>
    <x v="11"/>
  </r>
  <r>
    <n v="77"/>
    <s v="29B2C2604002"/>
    <s v="29B2C2604002 - HĐTK"/>
    <d v="2026-04-02T00:00:00"/>
    <s v="Anh Hoàng - Nam Định"/>
    <s v="Facebook"/>
    <x v="1"/>
    <m/>
    <x v="1"/>
    <n v="9833333"/>
    <n v="10620000"/>
    <m/>
    <n v="3933333.2"/>
    <n v="0.6"/>
    <n v="5899999.7999999998"/>
    <x v="3"/>
    <x v="3"/>
    <x v="0"/>
    <x v="1"/>
    <s v="Ninh Bình - Nam Định"/>
    <x v="1"/>
    <d v="2026-03-30T00:00:00"/>
    <n v="2026"/>
    <x v="3"/>
    <x v="12"/>
  </r>
  <r>
    <n v="78"/>
    <s v="29B2C2604003"/>
    <s v="29B2C2604003"/>
    <d v="2026-04-03T00:00:00"/>
    <s v="Chị Thủy OCP 1"/>
    <s v="Facebook"/>
    <x v="1"/>
    <m/>
    <x v="1"/>
    <n v="4796296"/>
    <n v="5180000"/>
    <m/>
    <n v="1918518.4"/>
    <n v="0.6"/>
    <n v="2877777.6"/>
    <x v="14"/>
    <x v="3"/>
    <x v="2"/>
    <x v="1"/>
    <s v="Hà Nội"/>
    <x v="2"/>
    <d v="2026-04-01T00:00:00"/>
    <n v="2026"/>
    <x v="3"/>
    <x v="24"/>
  </r>
  <r>
    <n v="79"/>
    <s v="29B2C2604001"/>
    <s v="29B2C2604001"/>
    <d v="2026-04-03T00:00:00"/>
    <s v="Biệt thự Hoàn Kiếm (Tập đoàn Aritta)"/>
    <s v="Reference"/>
    <x v="2"/>
    <m/>
    <x v="1"/>
    <n v="87795679.012345672"/>
    <n v="94819333.333333328"/>
    <m/>
    <n v="57067191.358024687"/>
    <n v="0.35"/>
    <n v="30728487.654320981"/>
    <x v="19"/>
    <x v="3"/>
    <x v="1"/>
    <x v="0"/>
    <s v="Hà Nội"/>
    <x v="3"/>
    <d v="2026-03-26T00:00:00"/>
    <n v="2026"/>
    <x v="3"/>
    <x v="24"/>
  </r>
  <r>
    <n v="80"/>
    <s v="29B2C2603024"/>
    <s v="29B2C2603024"/>
    <d v="2026-04-04T00:00:00"/>
    <s v="cô Quyên"/>
    <s v="Giới thiệu"/>
    <x v="5"/>
    <m/>
    <x v="1"/>
    <n v="24148148"/>
    <n v="26080000"/>
    <m/>
    <n v="9659259.2000000011"/>
    <n v="0.6"/>
    <n v="14488888.799999999"/>
    <x v="17"/>
    <x v="3"/>
    <x v="0"/>
    <x v="1"/>
    <s v="Hà Nội"/>
    <x v="4"/>
    <d v="2026-03-23T00:00:00"/>
    <n v="2026"/>
    <x v="3"/>
    <x v="25"/>
  </r>
  <r>
    <n v="81"/>
    <s v="29B2C2604008"/>
    <s v="29B2C2604008"/>
    <d v="2026-04-08T00:00:00"/>
    <s v="Trang Le"/>
    <s v="Facebook"/>
    <x v="1"/>
    <m/>
    <x v="1"/>
    <n v="1851852"/>
    <n v="2000000"/>
    <m/>
    <n v="740740.8"/>
    <n v="0.6"/>
    <n v="1111111.2"/>
    <x v="23"/>
    <x v="3"/>
    <x v="0"/>
    <x v="1"/>
    <s v="Hà Nội"/>
    <x v="2"/>
    <d v="2026-04-07T00:00:00"/>
    <n v="2026"/>
    <x v="3"/>
    <x v="1"/>
  </r>
  <r>
    <n v="82"/>
    <s v="29B2C2604001"/>
    <s v="29B2B2604007"/>
    <d v="2026-04-08T00:00:00"/>
    <s v="Biệt thự Hoàn Kiếm (Tập đoàn Aritta)"/>
    <s v="Reference"/>
    <x v="2"/>
    <m/>
    <x v="2"/>
    <n v="1244460356.4814813"/>
    <n v="1344017185"/>
    <m/>
    <n v="1057791303.0092591"/>
    <n v="0.15"/>
    <n v="186669053.47222218"/>
    <x v="19"/>
    <x v="3"/>
    <x v="3"/>
    <x v="0"/>
    <s v="Hà Nội"/>
    <x v="3"/>
    <d v="2026-03-26T00:00:00"/>
    <n v="2026"/>
    <x v="3"/>
    <x v="1"/>
  </r>
  <r>
    <n v="83"/>
    <s v="51B2C2604009"/>
    <s v="51B2C2604009"/>
    <d v="2026-04-09T00:00:00"/>
    <s v="Huyền Mi"/>
    <s v="Zalo"/>
    <x v="4"/>
    <m/>
    <x v="1"/>
    <n v="1950000"/>
    <n v="2106000"/>
    <m/>
    <n v="780000"/>
    <n v="0.6"/>
    <n v="1170000"/>
    <x v="21"/>
    <x v="0"/>
    <x v="2"/>
    <x v="1"/>
    <s v="Hồ Chí Minh"/>
    <x v="2"/>
    <d v="2026-04-06T00:00:00"/>
    <n v="2026"/>
    <x v="3"/>
    <x v="15"/>
  </r>
  <r>
    <n v="84"/>
    <s v="29B2C2603011"/>
    <s v="29B2C2603011 - HĐTC"/>
    <d v="2026-04-10T00:00:00"/>
    <s v="Chị Lan - Đình Thôn"/>
    <s v="Hotline"/>
    <x v="8"/>
    <m/>
    <x v="2"/>
    <n v="66510816"/>
    <n v="71831681"/>
    <m/>
    <n v="43232030.400000006"/>
    <n v="0.35"/>
    <n v="23278785.599999998"/>
    <x v="5"/>
    <x v="1"/>
    <x v="2"/>
    <x v="1"/>
    <s v="Hà Nội"/>
    <x v="2"/>
    <d v="2026-02-25T00:00:00"/>
    <n v="2026"/>
    <x v="3"/>
    <x v="20"/>
  </r>
  <r>
    <n v="85"/>
    <s v="51B2B2604010"/>
    <s v="51B2B2604010"/>
    <d v="2026-04-11T00:00:00"/>
    <s v="Fursys T4"/>
    <s v="Partner"/>
    <x v="5"/>
    <m/>
    <x v="0"/>
    <n v="246000000"/>
    <n v="265680000"/>
    <m/>
    <n v="216480000"/>
    <n v="0.12"/>
    <n v="29520000"/>
    <x v="21"/>
    <x v="0"/>
    <x v="0"/>
    <x v="0"/>
    <s v="Hồ Chí Minh"/>
    <x v="0"/>
    <d v="2026-04-09T00:00:00"/>
    <n v="2026"/>
    <x v="3"/>
    <x v="16"/>
  </r>
  <r>
    <n v="86"/>
    <m/>
    <s v="Doanh số TMĐT W(1+2)M4"/>
    <d v="2026-04-11T00:00:00"/>
    <s v="Doanh số TMĐT W(1+2)M4"/>
    <s v="TMĐT"/>
    <x v="6"/>
    <m/>
    <x v="4"/>
    <n v="3857983.333333333"/>
    <n v="4166622"/>
    <m/>
    <m/>
    <m/>
    <m/>
    <x v="18"/>
    <x v="4"/>
    <x v="0"/>
    <x v="1"/>
    <s v="Hà Nội"/>
    <x v="2"/>
    <m/>
    <n v="2026"/>
    <x v="3"/>
    <x v="16"/>
  </r>
  <r>
    <n v="87"/>
    <s v="29B2C2604012"/>
    <s v="29B2C2604012"/>
    <d v="2026-04-14T00:00:00"/>
    <s v="Chị Lan Anh - Homecity"/>
    <s v="Facebook"/>
    <x v="1"/>
    <m/>
    <x v="1"/>
    <n v="7083333"/>
    <n v="7650000"/>
    <m/>
    <n v="2833333.2"/>
    <n v="0.6"/>
    <n v="4249999.8"/>
    <x v="15"/>
    <x v="1"/>
    <x v="1"/>
    <x v="1"/>
    <s v="Hà Nội"/>
    <x v="2"/>
    <d v="2026-03-24T00:00:00"/>
    <n v="2026"/>
    <x v="3"/>
    <x v="2"/>
  </r>
  <r>
    <n v="88"/>
    <s v="29B2C2604004"/>
    <s v="29B2C2604004 - HĐTK"/>
    <d v="2026-04-14T00:00:00"/>
    <s v="Anh Lộc - Cầu Giấy"/>
    <s v="Sale tự kiếm"/>
    <x v="7"/>
    <m/>
    <x v="1"/>
    <n v="4974074"/>
    <n v="5372000"/>
    <m/>
    <n v="2487037"/>
    <n v="0.5"/>
    <n v="2487037"/>
    <x v="3"/>
    <x v="3"/>
    <x v="0"/>
    <x v="1"/>
    <s v="Hà Nội"/>
    <x v="2"/>
    <d v="2026-04-07T00:00:00"/>
    <n v="2026"/>
    <x v="3"/>
    <x v="2"/>
  </r>
  <r>
    <n v="89"/>
    <s v="29B2C2604014"/>
    <s v="29B2C2604014"/>
    <d v="2026-04-16T00:00:00"/>
    <s v="Chị Diệp Anh - Hoàng Cầu"/>
    <s v="Facebook"/>
    <x v="1"/>
    <m/>
    <x v="1"/>
    <n v="52777778"/>
    <n v="57000000"/>
    <m/>
    <n v="21111111.200000003"/>
    <n v="0.6"/>
    <n v="31666666.799999997"/>
    <x v="15"/>
    <x v="1"/>
    <x v="1"/>
    <x v="1"/>
    <s v="Hà Nội"/>
    <x v="1"/>
    <d v="2026-03-30T00:00:00"/>
    <n v="2026"/>
    <x v="3"/>
    <x v="3"/>
  </r>
  <r>
    <n v="90"/>
    <s v="29B2C2604003"/>
    <s v="29B2C2604003 - HĐTC"/>
    <d v="2026-04-17T00:00:00"/>
    <s v="Chị Thủy OCP 1"/>
    <s v="Facebook"/>
    <x v="1"/>
    <m/>
    <x v="2"/>
    <n v="46081895.369999997"/>
    <n v="49768447"/>
    <m/>
    <n v="32257326.758999996"/>
    <n v="0.3"/>
    <n v="13824568.611"/>
    <x v="14"/>
    <x v="3"/>
    <x v="0"/>
    <x v="1"/>
    <s v="Hà Nội"/>
    <x v="2"/>
    <d v="2026-04-01T00:00:00"/>
    <n v="2026"/>
    <x v="3"/>
    <x v="26"/>
  </r>
  <r>
    <n v="91"/>
    <s v="51B2B2604016"/>
    <s v="51B2B2604016"/>
    <d v="2026-04-17T00:00:00"/>
    <s v="Khách sạn Phú Quốc Gói 2"/>
    <s v="Partner"/>
    <x v="0"/>
    <m/>
    <x v="2"/>
    <n v="5047581502"/>
    <n v="5451388022"/>
    <m/>
    <n v="4038065201.5999999"/>
    <n v="0.2"/>
    <n v="1009516300.4000001"/>
    <x v="6"/>
    <x v="0"/>
    <x v="2"/>
    <x v="0"/>
    <s v="Phú Quốc"/>
    <x v="4"/>
    <d v="2026-03-06T00:00:00"/>
    <n v="2026"/>
    <x v="3"/>
    <x v="26"/>
  </r>
  <r>
    <n v="92"/>
    <m/>
    <s v="Doanh số TMĐT W3M4"/>
    <d v="2026-04-18T00:00:00"/>
    <s v="Doanh số TMĐT W3M4"/>
    <s v="TMĐT"/>
    <x v="6"/>
    <m/>
    <x v="4"/>
    <n v="1897211.111111111"/>
    <n v="2048988"/>
    <m/>
    <m/>
    <m/>
    <m/>
    <x v="18"/>
    <x v="4"/>
    <x v="0"/>
    <x v="1"/>
    <s v="Hà Nội"/>
    <x v="2"/>
    <m/>
    <n v="2026"/>
    <x v="3"/>
    <x v="21"/>
  </r>
  <r>
    <n v="93"/>
    <s v="29B2C2604017"/>
    <s v="29B2C2604017"/>
    <d v="2026-04-21T00:00:00"/>
    <s v="Chị Thanh Hà"/>
    <s v="Facebook"/>
    <x v="1"/>
    <m/>
    <x v="1"/>
    <n v="12833333"/>
    <n v="13860000"/>
    <m/>
    <n v="8983333.0999999996"/>
    <n v="0.3"/>
    <n v="3849999.9"/>
    <x v="7"/>
    <x v="1"/>
    <x v="2"/>
    <x v="1"/>
    <s v="Hà Nội"/>
    <x v="2"/>
    <d v="2026-04-13T00:00:00"/>
    <n v="2026"/>
    <x v="3"/>
    <x v="22"/>
  </r>
  <r>
    <n v="94"/>
    <s v="29B2C2604021"/>
    <s v="29B2C2604021- HĐTK"/>
    <d v="2026-04-23T00:00:00"/>
    <s v="anh Phú - The Charm"/>
    <s v="Facebook"/>
    <x v="1"/>
    <s v="The Charm"/>
    <x v="1"/>
    <n v="4629629.5999999996"/>
    <n v="5000000"/>
    <m/>
    <n v="2314814.7999999998"/>
    <n v="0.5"/>
    <n v="2314814.7999999998"/>
    <x v="23"/>
    <x v="3"/>
    <x v="0"/>
    <x v="1"/>
    <s v="Hà Nội - Hà Đông"/>
    <x v="2"/>
    <d v="2026-04-19T00:00:00"/>
    <n v="2026"/>
    <x v="3"/>
    <x v="7"/>
  </r>
  <r>
    <n v="95"/>
    <s v="51B2C2603028"/>
    <s v="51B2C2603028 - HĐTC"/>
    <d v="2026-04-23T00:00:00"/>
    <s v="anh Phát"/>
    <s v="Facebook"/>
    <x v="1"/>
    <m/>
    <x v="2"/>
    <n v="91670000"/>
    <n v="99003600"/>
    <m/>
    <n v="69669200"/>
    <n v="0.24"/>
    <n v="22000800"/>
    <x v="20"/>
    <x v="0"/>
    <x v="0"/>
    <x v="1"/>
    <s v="Hồ Chí Minh"/>
    <x v="2"/>
    <d v="2026-03-21T00:00:00"/>
    <n v="2026"/>
    <x v="3"/>
    <x v="7"/>
  </r>
  <r>
    <n v="96"/>
    <s v="29B2C2604018"/>
    <s v="29B2C2604018"/>
    <d v="2026-04-23T00:00:00"/>
    <s v="Chị Hạnh - Time City"/>
    <s v="Facebook"/>
    <x v="1"/>
    <m/>
    <x v="1"/>
    <n v="5870370"/>
    <n v="6340000"/>
    <m/>
    <n v="3815740.5"/>
    <n v="0.35"/>
    <n v="2054629.4999999998"/>
    <x v="7"/>
    <x v="1"/>
    <x v="2"/>
    <x v="1"/>
    <s v="Hà Nội"/>
    <x v="2"/>
    <d v="2026-04-11T00:00:00"/>
    <n v="2026"/>
    <x v="3"/>
    <x v="7"/>
  </r>
  <r>
    <n v="97"/>
    <s v="29B2C2604022"/>
    <s v="29B2C2604022"/>
    <d v="2026-04-24T00:00:00"/>
    <s v="Chị Huyền The Charm"/>
    <s v="Facebook"/>
    <x v="1"/>
    <s v="The Charm"/>
    <x v="1"/>
    <n v="3703703.7"/>
    <n v="4000000"/>
    <m/>
    <n v="1851851.85"/>
    <n v="0.5"/>
    <n v="1851851.85"/>
    <x v="1"/>
    <x v="1"/>
    <x v="0"/>
    <x v="1"/>
    <s v="Hà Nội"/>
    <x v="2"/>
    <d v="2026-04-22T00:00:00"/>
    <n v="2026"/>
    <x v="3"/>
    <x v="17"/>
  </r>
  <r>
    <n v="98"/>
    <m/>
    <s v="Doanh số TMĐT M4W4"/>
    <d v="2026-04-25T00:00:00"/>
    <s v="Doanh số TMĐT M4W4"/>
    <s v="TMĐT"/>
    <x v="6"/>
    <m/>
    <x v="4"/>
    <n v="16054402.777777776"/>
    <n v="17338755"/>
    <m/>
    <m/>
    <m/>
    <m/>
    <x v="18"/>
    <x v="4"/>
    <x v="0"/>
    <x v="1"/>
    <s v="Hà Nội"/>
    <x v="2"/>
    <m/>
    <n v="2026"/>
    <x v="3"/>
    <x v="18"/>
  </r>
  <r>
    <n v="99"/>
    <s v="29B2C2603030"/>
    <s v="29B2C2603030 - HĐTC"/>
    <d v="2026-04-29T00:00:00"/>
    <s v="Chị Hạnh - Cổ Nhuế"/>
    <s v="Facebook"/>
    <x v="1"/>
    <m/>
    <x v="2"/>
    <n v="450759259"/>
    <n v="486820000"/>
    <m/>
    <n v="360607407.19999999"/>
    <n v="0.2"/>
    <n v="90151851.800000012"/>
    <x v="1"/>
    <x v="1"/>
    <x v="2"/>
    <x v="1"/>
    <s v="Hà Nội"/>
    <x v="1"/>
    <d v="2026-03-31T00:00:00"/>
    <n v="2026"/>
    <x v="3"/>
    <x v="10"/>
  </r>
  <r>
    <n v="100"/>
    <s v="51B2C2604026"/>
    <s v="51B2C2604026"/>
    <d v="2026-04-29T00:00:00"/>
    <s v="Zeekr Trần Hưng Đạo (BNA)"/>
    <s v="Partner"/>
    <x v="0"/>
    <m/>
    <x v="2"/>
    <n v="26090000"/>
    <n v="28177200"/>
    <m/>
    <n v="19828400"/>
    <n v="0.24"/>
    <n v="6261600"/>
    <x v="21"/>
    <x v="0"/>
    <x v="0"/>
    <x v="0"/>
    <s v="Hồ Chí Minh"/>
    <x v="0"/>
    <d v="2026-05-04T00:00:00"/>
    <n v="2026"/>
    <x v="3"/>
    <x v="10"/>
  </r>
  <r>
    <n v="101"/>
    <s v="29B2C2604024"/>
    <s v="29B2C2604024"/>
    <d v="2026-04-29T00:00:00"/>
    <s v="Anh Quân - Long Biên"/>
    <s v="Partner"/>
    <x v="5"/>
    <m/>
    <x v="2"/>
    <n v="41069854"/>
    <n v="44355442"/>
    <m/>
    <n v="28748897.800000001"/>
    <n v="0.3"/>
    <n v="12320956.199999999"/>
    <x v="14"/>
    <x v="3"/>
    <x v="2"/>
    <x v="1"/>
    <s v="Hà Nội - Long Biên"/>
    <x v="3"/>
    <d v="2026-04-29T00:00:00"/>
    <n v="2026"/>
    <x v="3"/>
    <x v="10"/>
  </r>
  <r>
    <n v="102"/>
    <m/>
    <s v="Doanh số TMĐT M4W5"/>
    <d v="2026-04-30T00:00:00"/>
    <s v="Doanh số TMĐT M4W5"/>
    <s v="TMĐT"/>
    <x v="6"/>
    <m/>
    <x v="4"/>
    <n v="1605958.3333333333"/>
    <n v="1734435"/>
    <m/>
    <m/>
    <m/>
    <m/>
    <x v="18"/>
    <x v="4"/>
    <x v="0"/>
    <x v="1"/>
    <s v="Hà Nội"/>
    <x v="2"/>
    <m/>
    <n v="2026"/>
    <x v="3"/>
    <x v="23"/>
  </r>
  <r>
    <n v="103"/>
    <s v="29B2C2603012"/>
    <s v="29B2C2603012 - HĐTC"/>
    <d v="2026-04-30T00:00:00"/>
    <s v="Chị Phương - Lê Văn Lương"/>
    <s v="Facebook"/>
    <x v="1"/>
    <m/>
    <x v="2"/>
    <n v="317620370.37037033"/>
    <n v="343030000"/>
    <m/>
    <n v="254096296.29629627"/>
    <n v="0.2"/>
    <n v="63524074.074074067"/>
    <x v="15"/>
    <x v="1"/>
    <x v="0"/>
    <x v="1"/>
    <s v="Hà Nội"/>
    <x v="2"/>
    <d v="2026-03-11T00:00:00"/>
    <n v="2026"/>
    <x v="3"/>
    <x v="23"/>
  </r>
  <r>
    <n v="104"/>
    <s v="29B2C2604022"/>
    <s v="29B2C2604022 - HĐTC"/>
    <d v="2026-05-05T00:00:00"/>
    <s v="chị Huyền - The Charm"/>
    <s v="Facebook"/>
    <x v="5"/>
    <s v="The Charm"/>
    <x v="2"/>
    <n v="181944444"/>
    <n v="196500000"/>
    <m/>
    <n v="123722221.92"/>
    <n v="0.32"/>
    <n v="58222222.079999998"/>
    <x v="1"/>
    <x v="1"/>
    <x v="0"/>
    <x v="1"/>
    <s v="Hà Nội"/>
    <x v="2"/>
    <d v="2026-04-24T00:00:00"/>
    <n v="2026"/>
    <x v="4"/>
    <x v="0"/>
  </r>
  <r>
    <n v="105"/>
    <s v="51B2C2604009"/>
    <s v="51B2C2604009 - HĐTC"/>
    <d v="2026-05-06T00:00:00"/>
    <s v="Chị Mi - Homeland 2"/>
    <s v="Zalo"/>
    <x v="4"/>
    <m/>
    <x v="2"/>
    <n v="77770000"/>
    <n v="83991600"/>
    <m/>
    <n v="59882900"/>
    <n v="0.23"/>
    <n v="17887100"/>
    <x v="21"/>
    <x v="0"/>
    <x v="2"/>
    <x v="1"/>
    <s v="Hồ Chí Minh"/>
    <x v="2"/>
    <d v="2026-04-09T00:00:00"/>
    <n v="2026"/>
    <x v="4"/>
    <x v="13"/>
  </r>
  <r>
    <n v="106"/>
    <s v="51B2B2605001"/>
    <s v="51B2B2605001"/>
    <d v="2026-05-06T00:00:00"/>
    <s v="Phong Vũ Quận 4"/>
    <s v="Partner"/>
    <x v="0"/>
    <m/>
    <x v="2"/>
    <n v="356000000"/>
    <n v="384480000"/>
    <m/>
    <n v="302600000"/>
    <n v="0.15"/>
    <n v="53400000"/>
    <x v="20"/>
    <x v="0"/>
    <x v="2"/>
    <x v="0"/>
    <s v="Hồ Chí Minh"/>
    <x v="5"/>
    <d v="2026-05-06T00:00:00"/>
    <n v="2026"/>
    <x v="4"/>
    <x v="13"/>
  </r>
  <r>
    <n v="107"/>
    <m/>
    <s v="Doanh số TMĐT M5W1"/>
    <d v="2026-05-09T00:00:00"/>
    <s v="Doanh số TMĐT M5W1"/>
    <s v="TMĐT"/>
    <x v="6"/>
    <m/>
    <x v="4"/>
    <n v="1298056.4814814813"/>
    <n v="1401901"/>
    <m/>
    <m/>
    <m/>
    <m/>
    <x v="18"/>
    <x v="4"/>
    <x v="0"/>
    <x v="1"/>
    <s v="Hà Nội"/>
    <x v="2"/>
    <m/>
    <n v="2026"/>
    <x v="4"/>
    <x v="15"/>
  </r>
  <r>
    <n v="108"/>
    <s v="29B2C2505005"/>
    <s v="29B2C2505005 - HĐTK"/>
    <d v="2026-05-11T00:00:00"/>
    <s v="Chị Thương -  Hoàng Mai"/>
    <s v="Facebook"/>
    <x v="1"/>
    <m/>
    <x v="1"/>
    <n v="8962963"/>
    <n v="9680000"/>
    <m/>
    <n v="7170370.4000000004"/>
    <n v="0.2"/>
    <n v="1792592.6"/>
    <x v="1"/>
    <x v="1"/>
    <x v="0"/>
    <x v="1"/>
    <s v="Hà Nội"/>
    <x v="1"/>
    <d v="2026-04-09T00:00:00"/>
    <n v="2026"/>
    <x v="4"/>
    <x v="16"/>
  </r>
  <r>
    <n v="109"/>
    <s v="29B2B2604015"/>
    <s v="29B2B2604015 - HĐTK"/>
    <d v="2026-05-12T00:00:00"/>
    <s v="Trường Ardingly Lào Cai - Gói Thiết kế"/>
    <s v="Reference"/>
    <x v="2"/>
    <m/>
    <x v="1"/>
    <n v="160950000"/>
    <n v="173826000"/>
    <m/>
    <n v="128760000"/>
    <n v="0.2"/>
    <n v="32190000"/>
    <x v="24"/>
    <x v="2"/>
    <x v="2"/>
    <x v="0"/>
    <s v="Lào Cai"/>
    <x v="6"/>
    <d v="2024-10-14T00:00:00"/>
    <n v="2026"/>
    <x v="4"/>
    <x v="27"/>
  </r>
  <r>
    <n v="110"/>
    <s v="29B2C2605002"/>
    <s v="29B2C2605002"/>
    <d v="2026-05-13T00:00:00"/>
    <s v="Chị Khanh - Thạch Bàn"/>
    <s v="Holding"/>
    <x v="10"/>
    <m/>
    <x v="2"/>
    <n v="52685185"/>
    <n v="56900000"/>
    <m/>
    <n v="40040740.600000001"/>
    <n v="0.24"/>
    <n v="12644444.4"/>
    <x v="11"/>
    <x v="1"/>
    <x v="4"/>
    <x v="1"/>
    <s v="Hà Nội - Long Biên"/>
    <x v="3"/>
    <d v="2026-05-14T00:00:00"/>
    <n v="2026"/>
    <x v="4"/>
    <x v="28"/>
  </r>
  <r>
    <n v="111"/>
    <s v="29B2C2601010"/>
    <s v="29B2C2601010 - HĐTC NT"/>
    <d v="2026-05-16T00:00:00"/>
    <s v="Dũng Thảo - Cầu Giấy"/>
    <s v="Facebook"/>
    <x v="1"/>
    <m/>
    <x v="2"/>
    <n v="269123696.2962963"/>
    <n v="290653592"/>
    <m/>
    <n v="215298957.03703704"/>
    <n v="0.2"/>
    <n v="53824739.259259261"/>
    <x v="14"/>
    <x v="3"/>
    <x v="1"/>
    <x v="1"/>
    <s v="Hà Nội"/>
    <x v="2"/>
    <d v="2026-01-05T00:00:00"/>
    <n v="2026"/>
    <x v="4"/>
    <x v="3"/>
  </r>
  <r>
    <n v="112"/>
    <s v="29B2C2605003"/>
    <s v="29B2C2605003 - HĐTK"/>
    <d v="2026-05-16T00:00:00"/>
    <s v=" ANH HUY - BEVERLY OCP1 (Nguyễn Viết Huy)"/>
    <s v="Zalo"/>
    <x v="4"/>
    <m/>
    <x v="1"/>
    <n v="7222222.222222222"/>
    <n v="7800000"/>
    <m/>
    <n v="5777777.777777778"/>
    <n v="0.2"/>
    <n v="1444444.4444444445"/>
    <x v="11"/>
    <x v="1"/>
    <x v="0"/>
    <x v="1"/>
    <s v="Hà Nội"/>
    <x v="2"/>
    <d v="2026-05-03T00:00:00"/>
    <n v="2026"/>
    <x v="4"/>
    <x v="3"/>
  </r>
  <r>
    <n v="113"/>
    <m/>
    <s v="Doanh số TMĐT M5W2"/>
    <d v="2026-05-16T00:00:00"/>
    <s v="Doanh số TMĐT M5W2"/>
    <s v="TMĐT"/>
    <x v="6"/>
    <m/>
    <x v="4"/>
    <n v="886546.14814814995"/>
    <n v="957469.84000000206"/>
    <m/>
    <m/>
    <m/>
    <m/>
    <x v="18"/>
    <x v="4"/>
    <x v="0"/>
    <x v="1"/>
    <s v="Hà Nội"/>
    <x v="2"/>
    <m/>
    <n v="2026"/>
    <x v="4"/>
    <x v="3"/>
  </r>
  <r>
    <n v="114"/>
    <s v="29REN2404036"/>
    <s v="29REN2404036 - Mua lại"/>
    <d v="2026-05-20T00:00:00"/>
    <s v="anh Vinh"/>
    <s v="Facebook"/>
    <x v="0"/>
    <m/>
    <x v="3"/>
    <n v="24602778"/>
    <n v="26571000"/>
    <m/>
    <n v="12301389"/>
    <n v="0.5"/>
    <n v="12301389"/>
    <x v="1"/>
    <x v="1"/>
    <x v="5"/>
    <x v="1"/>
    <s v="Hà Nội"/>
    <x v="1"/>
    <d v="2026-05-21T00:00:00"/>
    <n v="2026"/>
    <x v="4"/>
    <x v="5"/>
  </r>
  <r>
    <n v="115"/>
    <s v="29B2B2605020"/>
    <s v="29B2B2605020"/>
    <d v="2026-05-20T00:00:00"/>
    <s v="Trường Đoàn Thị Điểm - TH&amp;THCS"/>
    <s v="Reference"/>
    <x v="10"/>
    <m/>
    <x v="2"/>
    <n v="2417953181"/>
    <n v="2611389435"/>
    <m/>
    <n v="1861823949.3699999"/>
    <n v="0.23"/>
    <n v="556129231.63"/>
    <x v="24"/>
    <x v="2"/>
    <x v="0"/>
    <x v="0"/>
    <s v="Hà Nội"/>
    <x v="6"/>
    <d v="2025-06-07T00:00:00"/>
    <n v="2026"/>
    <x v="4"/>
    <x v="5"/>
  </r>
  <r>
    <n v="116"/>
    <s v="29B2C2603016"/>
    <s v="29B2C2603016 - HĐTC"/>
    <d v="2026-05-21T00:00:00"/>
    <s v="Anh Hậu BT6 - 96 Nguyễn Huy Tưởng (CÔNG TY TNHH PHÂN PHỐI RC ODV)"/>
    <s v="Sale tự kiếm"/>
    <x v="7"/>
    <m/>
    <x v="2"/>
    <n v="43897628.700000003"/>
    <n v="47409439"/>
    <m/>
    <n v="36435031.821000002"/>
    <n v="0.17"/>
    <n v="7462596.8790000007"/>
    <x v="5"/>
    <x v="1"/>
    <x v="0"/>
    <x v="0"/>
    <s v="Hà Nội"/>
    <x v="5"/>
    <d v="2026-03-24T00:00:00"/>
    <n v="2026"/>
    <x v="4"/>
    <x v="22"/>
  </r>
  <r>
    <n v="117"/>
    <s v="29B2C2605008"/>
    <s v="29B2C2605008"/>
    <d v="2026-05-21T00:00:00"/>
    <s v="Chị Oanh - Westpoint"/>
    <s v="Reference"/>
    <x v="2"/>
    <m/>
    <x v="2"/>
    <n v="135370370"/>
    <n v="146200000"/>
    <m/>
    <n v="104235184.90000001"/>
    <n v="0.23"/>
    <n v="31135185.100000001"/>
    <x v="1"/>
    <x v="1"/>
    <x v="2"/>
    <x v="1"/>
    <s v="Hà Nội - Cầu Giấy"/>
    <x v="2"/>
    <d v="2026-05-23T00:00:00"/>
    <n v="2026"/>
    <x v="4"/>
    <x v="22"/>
  </r>
  <r>
    <n v="118"/>
    <s v="29B2C2604018"/>
    <s v="29B2C2605009"/>
    <d v="2026-05-23T00:00:00"/>
    <s v="Chị Hạnh - Time City"/>
    <s v="Facebook"/>
    <x v="1"/>
    <m/>
    <x v="2"/>
    <n v="155544997"/>
    <n v="167988597"/>
    <m/>
    <n v="105770597.96000001"/>
    <n v="0.32"/>
    <n v="49774399.039999999"/>
    <x v="7"/>
    <x v="1"/>
    <x v="3"/>
    <x v="1"/>
    <s v="Hà Nội"/>
    <x v="2"/>
    <d v="2026-04-11T00:00:00"/>
    <n v="2026"/>
    <x v="4"/>
    <x v="7"/>
  </r>
  <r>
    <n v="119"/>
    <m/>
    <s v="Doanh số TMĐT M5W3"/>
    <d v="2026-05-23T00:00:00"/>
    <s v="Doanh số TMĐT M5W3"/>
    <s v="TMĐT"/>
    <x v="6"/>
    <m/>
    <x v="4"/>
    <n v="1164391"/>
    <n v="1257542.28"/>
    <m/>
    <m/>
    <m/>
    <m/>
    <x v="18"/>
    <x v="4"/>
    <x v="6"/>
    <x v="1"/>
    <s v="Hà Nội"/>
    <x v="2"/>
    <m/>
    <n v="2026"/>
    <x v="4"/>
    <x v="7"/>
  </r>
  <r>
    <n v="120"/>
    <s v="29B2C2605011"/>
    <s v="29B2C2605011"/>
    <d v="2026-05-25T00:00:00"/>
    <s v="Chị Trang - Timecity"/>
    <s v="Facebook"/>
    <x v="1"/>
    <m/>
    <x v="1"/>
    <n v="2777778"/>
    <n v="3000000"/>
    <m/>
    <n v="1944444.6"/>
    <n v="0.3"/>
    <n v="833333.4"/>
    <x v="14"/>
    <x v="3"/>
    <x v="2"/>
    <x v="1"/>
    <s v="Hà Nội"/>
    <x v="2"/>
    <d v="2026-04-15T00:00:00"/>
    <n v="2026"/>
    <x v="4"/>
    <x v="18"/>
  </r>
  <r>
    <n v="121"/>
    <s v="29B2C2604017"/>
    <s v="29B2C2604017 - HĐTC"/>
    <d v="2026-05-28T00:00:00"/>
    <s v="Chị Hà - Homecity"/>
    <s v="Facebook"/>
    <x v="1"/>
    <m/>
    <x v="2"/>
    <n v="187555968"/>
    <n v="202560445"/>
    <m/>
    <n v="131289177.59999999"/>
    <n v="0.3"/>
    <n v="56266790.399999999"/>
    <x v="7"/>
    <x v="1"/>
    <x v="0"/>
    <x v="1"/>
    <s v="Hà Nội"/>
    <x v="2"/>
    <d v="2026-04-13T00:00:00"/>
    <n v="2026"/>
    <x v="4"/>
    <x v="9"/>
  </r>
  <r>
    <n v="122"/>
    <s v="29B2B2605012"/>
    <s v="29B2B2605012 - HĐTK"/>
    <d v="2026-05-28T00:00:00"/>
    <s v="Anh Chiến - Hải Phòng"/>
    <s v="Zalo"/>
    <x v="4"/>
    <m/>
    <x v="1"/>
    <n v="18518518.518518519"/>
    <n v="20000000"/>
    <m/>
    <n v="14814814.814814815"/>
    <n v="0.2"/>
    <n v="3703703.7037037038"/>
    <x v="7"/>
    <x v="1"/>
    <x v="1"/>
    <x v="0"/>
    <s v="Hải Phòng"/>
    <x v="0"/>
    <d v="2026-05-19T00:00:00"/>
    <n v="2026"/>
    <x v="4"/>
    <x v="9"/>
  </r>
  <r>
    <n v="123"/>
    <s v="29B2B2605012"/>
    <s v="29B2B2605012 - HĐTC"/>
    <d v="2026-05-28T00:00:00"/>
    <s v="Anh Chiến - Hải Phòng"/>
    <s v="Zalo"/>
    <x v="4"/>
    <m/>
    <x v="2"/>
    <n v="242244699.07407406"/>
    <n v="261624275"/>
    <m/>
    <n v="181683524.30555555"/>
    <n v="0.25"/>
    <n v="60561174.768518515"/>
    <x v="7"/>
    <x v="1"/>
    <x v="1"/>
    <x v="0"/>
    <s v="Hải Phòng"/>
    <x v="0"/>
    <d v="2026-05-19T00:00:00"/>
    <n v="2026"/>
    <x v="4"/>
    <x v="9"/>
  </r>
  <r>
    <n v="124"/>
    <s v="29B2C2605014"/>
    <s v="29B2C2605014"/>
    <d v="2026-05-30T00:00:00"/>
    <s v="KS Hòa Mã - Khai Sơn"/>
    <s v="Sale tự kiếm"/>
    <x v="7"/>
    <m/>
    <x v="1"/>
    <n v="58962962.962962963"/>
    <n v="63680000"/>
    <m/>
    <n v="47170370.370370373"/>
    <n v="0.2"/>
    <n v="11792592.592592593"/>
    <x v="25"/>
    <x v="1"/>
    <x v="0"/>
    <x v="0"/>
    <s v="Hà Nội"/>
    <x v="4"/>
    <d v="2025-12-03T00:00:00"/>
    <n v="2026"/>
    <x v="4"/>
    <x v="23"/>
  </r>
  <r>
    <n v="125"/>
    <s v="29B2B2605026"/>
    <s v="29B2B2605026"/>
    <d v="2026-05-30T00:00:00"/>
    <s v="Trường Ardingly Lào Cai - Khối Nội Trú"/>
    <s v="Reference"/>
    <x v="2"/>
    <m/>
    <x v="2"/>
    <n v="2083421674"/>
    <n v="2250095408"/>
    <m/>
    <n v="1562566255.5"/>
    <n v="0.25"/>
    <n v="520855418.5"/>
    <x v="24"/>
    <x v="2"/>
    <x v="1"/>
    <x v="0"/>
    <s v="Lào Cai"/>
    <x v="6"/>
    <d v="2026-06-05T00:00:00"/>
    <n v="2026"/>
    <x v="4"/>
    <x v="23"/>
  </r>
  <r>
    <n v="126"/>
    <s v="29B2C2604014"/>
    <s v="29B2C2604014 - HĐTC"/>
    <d v="2026-05-30T00:00:00"/>
    <s v="Chị Diệp Anh - Hoàng Cầu"/>
    <s v="Facebook"/>
    <x v="1"/>
    <m/>
    <x v="2"/>
    <n v="763055556"/>
    <n v="824100000"/>
    <m/>
    <n v="572291667"/>
    <n v="0.25"/>
    <n v="190763889"/>
    <x v="26"/>
    <x v="1"/>
    <x v="0"/>
    <x v="1"/>
    <s v="Hà Nội"/>
    <x v="2"/>
    <m/>
    <n v="2026"/>
    <x v="4"/>
    <x v="23"/>
  </r>
  <r>
    <n v="127"/>
    <s v="29B2C2606001"/>
    <s v="29B2C2606001 - HĐTK"/>
    <d v="2026-05-30T00:00:00"/>
    <s v="Anh Chị Trường Giang - Quốc Oai"/>
    <s v="Customer"/>
    <x v="0"/>
    <m/>
    <x v="1"/>
    <n v="29629629.629629627"/>
    <n v="32000000"/>
    <m/>
    <n v="23703703.703703701"/>
    <n v="0.2"/>
    <n v="5925925.9259259254"/>
    <x v="27"/>
    <x v="1"/>
    <x v="2"/>
    <x v="1"/>
    <s v="Hà Nội - Quốc Oai"/>
    <x v="1"/>
    <d v="2026-06-03T00:00:00"/>
    <n v="2026"/>
    <x v="4"/>
    <x v="23"/>
  </r>
  <r>
    <n v="128"/>
    <s v="29B2C2605013"/>
    <s v="29B2C2605013 - HĐTK"/>
    <d v="2026-05-30T00:00:00"/>
    <s v="Studio Minh Châu - Hà Đông"/>
    <s v="Facebook"/>
    <x v="1"/>
    <m/>
    <x v="1"/>
    <n v="3240741"/>
    <n v="3500000"/>
    <m/>
    <n v="2268518.7000000002"/>
    <n v="0.3"/>
    <n v="972222.29999999993"/>
    <x v="14"/>
    <x v="3"/>
    <x v="0"/>
    <x v="1"/>
    <s v="Hà Nội - Hà Đông"/>
    <x v="7"/>
    <d v="2026-05-21T00:00:00"/>
    <n v="2026"/>
    <x v="4"/>
    <x v="23"/>
  </r>
  <r>
    <n v="129"/>
    <s v="51B2B2606003"/>
    <s v="51B2B2606003"/>
    <d v="2026-05-30T00:00:00"/>
    <s v="Netnam HCM"/>
    <s v="Customer"/>
    <x v="0"/>
    <m/>
    <x v="2"/>
    <n v="601965350.5"/>
    <n v="650122579"/>
    <m/>
    <n v="493611587.41000003"/>
    <n v="0.18"/>
    <n v="108353763.08999999"/>
    <x v="21"/>
    <x v="0"/>
    <x v="2"/>
    <x v="0"/>
    <s v="Hồ Chí Minh"/>
    <x v="0"/>
    <m/>
    <n v="2026"/>
    <x v="4"/>
    <x v="23"/>
  </r>
  <r>
    <n v="130"/>
    <s v="29B2C2604012"/>
    <s v="29B2C2604012 - HĐTC"/>
    <d v="2026-05-30T00:00:00"/>
    <s v="Chị Lan Anh - Homecity"/>
    <s v="Facebook"/>
    <x v="1"/>
    <m/>
    <x v="2"/>
    <n v="176660185"/>
    <n v="190793000"/>
    <m/>
    <n v="134261740.59999999"/>
    <n v="0.24"/>
    <n v="42398444.399999999"/>
    <x v="26"/>
    <x v="1"/>
    <x v="1"/>
    <x v="1"/>
    <s v="Hà Nội"/>
    <x v="2"/>
    <d v="2026-03-24T00:00:00"/>
    <n v="2026"/>
    <x v="4"/>
    <x v="23"/>
  </r>
  <r>
    <n v="131"/>
    <s v="29B2C2606003"/>
    <s v="29B2C2606003 - HĐTK"/>
    <d v="2026-05-30T00:00:00"/>
    <s v="Anh Tuấn - Hoàng Hoa Thám"/>
    <s v="Facebook"/>
    <x v="1"/>
    <m/>
    <x v="1"/>
    <n v="2777777.7777777775"/>
    <n v="3000000"/>
    <m/>
    <n v="2222222.222222222"/>
    <n v="0.2"/>
    <n v="555555.5555555555"/>
    <x v="7"/>
    <x v="1"/>
    <x v="0"/>
    <x v="1"/>
    <s v="Hà Nội"/>
    <x v="1"/>
    <d v="2026-05-22T00:00:00"/>
    <n v="2026"/>
    <x v="4"/>
    <x v="23"/>
  </r>
  <r>
    <n v="132"/>
    <s v="29B2C2606003"/>
    <s v="29B2C2606003 - HĐTC"/>
    <d v="2026-05-30T00:00:00"/>
    <s v="Anh Tuấn - Hoàng Hoa Thám"/>
    <s v="Facebook"/>
    <x v="1"/>
    <m/>
    <x v="2"/>
    <n v="62432119.44444444"/>
    <n v="67426689"/>
    <m/>
    <n v="43078162.416666664"/>
    <n v="0.31"/>
    <n v="19353957.027777776"/>
    <x v="7"/>
    <x v="1"/>
    <x v="0"/>
    <x v="1"/>
    <s v="Hà Nội"/>
    <x v="1"/>
    <d v="2026-05-22T00:00:00"/>
    <n v="2026"/>
    <x v="4"/>
    <x v="23"/>
  </r>
  <r>
    <n v="133"/>
    <m/>
    <s v="Doanh số TMĐT M5W4"/>
    <d v="2026-05-31T00:00:00"/>
    <s v="Doanh số TMĐT M5W4"/>
    <s v="TMĐT"/>
    <x v="6"/>
    <m/>
    <x v="4"/>
    <n v="1852629"/>
    <n v="2000839.32"/>
    <m/>
    <m/>
    <m/>
    <m/>
    <x v="28"/>
    <x v="4"/>
    <x v="0"/>
    <x v="1"/>
    <s v="Hà Nội"/>
    <x v="2"/>
    <m/>
    <n v="2026"/>
    <x v="4"/>
    <x v="11"/>
  </r>
  <r>
    <n v="134"/>
    <s v="29B2B2606001"/>
    <s v="29B2B2606001"/>
    <d v="2026-06-04T00:00:00"/>
    <s v="Anh Ngọc - Cầu Giấy"/>
    <s v="Hotline"/>
    <x v="8"/>
    <m/>
    <x v="1"/>
    <n v="4666667"/>
    <n v="5040000"/>
    <m/>
    <n v="3640000.26"/>
    <n v="0.22"/>
    <n v="1026666.74"/>
    <x v="4"/>
    <x v="3"/>
    <x v="0"/>
    <x v="1"/>
    <s v="Hà Nội"/>
    <x v="1"/>
    <d v="2026-05-19T00:00:00"/>
    <n v="2026"/>
    <x v="5"/>
    <x v="25"/>
  </r>
  <r>
    <n v="135"/>
    <s v="29B2B2606002"/>
    <s v="29B2B2606002"/>
    <d v="2026-06-04T00:00:00"/>
    <s v="Anh Minh - Long Biên"/>
    <s v="Website"/>
    <x v="3"/>
    <m/>
    <x v="1"/>
    <n v="4333333"/>
    <n v="4680000"/>
    <m/>
    <n v="3379999.74"/>
    <n v="0.22"/>
    <n v="953333.26"/>
    <x v="4"/>
    <x v="3"/>
    <x v="0"/>
    <x v="1"/>
    <s v="Hà Nội"/>
    <x v="7"/>
    <d v="2026-05-29T00:00:00"/>
    <n v="2026"/>
    <x v="5"/>
    <x v="25"/>
  </r>
  <r>
    <n v="136"/>
    <s v="29B2C2606007"/>
    <s v="29B2C2606007"/>
    <d v="2026-06-11T00:00:00"/>
    <s v="Nguyễn Anh Quân"/>
    <s v="Zalo"/>
    <x v="4"/>
    <m/>
    <x v="1"/>
    <n v="27546296"/>
    <n v="29750000"/>
    <m/>
    <n v="21486110.879999999"/>
    <n v="0.22"/>
    <n v="6060185.1200000001"/>
    <x v="14"/>
    <x v="3"/>
    <x v="1"/>
    <x v="1"/>
    <s v="Hà Nội"/>
    <x v="2"/>
    <d v="2026-06-01T00:00:00"/>
    <n v="2026"/>
    <x v="5"/>
    <x v="16"/>
  </r>
  <r>
    <n v="137"/>
    <s v="51B2B2606005"/>
    <s v="51B2B2606005"/>
    <d v="2026-06-03T00:00:00"/>
    <s v="Phong Vũ Quận 4"/>
    <s v="Partner"/>
    <x v="0"/>
    <m/>
    <x v="2"/>
    <n v="26000000"/>
    <n v="28080000"/>
    <m/>
    <n v="20020000"/>
    <n v="0.23"/>
    <n v="5980000"/>
    <x v="21"/>
    <x v="0"/>
    <x v="2"/>
    <x v="0"/>
    <s v="Hồ Chí Minh"/>
    <x v="5"/>
    <d v="2026-05-06T00:00:00"/>
    <n v="2026"/>
    <x v="5"/>
    <x v="24"/>
  </r>
  <r>
    <n v="138"/>
    <m/>
    <s v="Doanh số TMĐT M6W2"/>
    <d v="2026-06-13T00:00:00"/>
    <s v="Doanh số TMĐT M6W2"/>
    <s v="TMĐT"/>
    <x v="6"/>
    <m/>
    <x v="4"/>
    <n v="2541966"/>
    <n v="2745323.2800000003"/>
    <m/>
    <m/>
    <m/>
    <m/>
    <x v="28"/>
    <x v="4"/>
    <x v="0"/>
    <x v="1"/>
    <s v="Hà Nội"/>
    <x v="2"/>
    <m/>
    <n v="2026"/>
    <x v="5"/>
    <x v="28"/>
  </r>
  <r>
    <n v="139"/>
    <s v="29B2C2605006"/>
    <s v="29B2C2605006"/>
    <d v="2026-06-16T00:00:00"/>
    <s v="Chú Tuyến - Mễ Trì"/>
    <s v="Holding"/>
    <x v="10"/>
    <m/>
    <x v="2"/>
    <n v="530031249.99999994"/>
    <n v="572433750"/>
    <m/>
    <n v="477028124.99999994"/>
    <n v="0.1"/>
    <n v="53003125"/>
    <x v="4"/>
    <x v="3"/>
    <x v="3"/>
    <x v="1"/>
    <s v="Hà Nội"/>
    <x v="1"/>
    <d v="2026-05-11T00:00:00"/>
    <n v="2026"/>
    <x v="5"/>
    <x v="3"/>
  </r>
  <r>
    <n v="140"/>
    <s v="51B2C2606011"/>
    <s v="51B2C2606011"/>
    <d v="2026-06-19T00:00:00"/>
    <s v="Anh Tùng Quận 9"/>
    <s v="Partner"/>
    <x v="5"/>
    <m/>
    <x v="2"/>
    <n v="77120000"/>
    <n v="83289600"/>
    <m/>
    <n v="56297600"/>
    <n v="0.27"/>
    <n v="20822400"/>
    <x v="21"/>
    <x v="0"/>
    <x v="2"/>
    <x v="1"/>
    <s v="Hồ Chí Minh"/>
    <x v="2"/>
    <d v="2026-06-19T00:00:00"/>
    <n v="2026"/>
    <x v="5"/>
    <x v="4"/>
  </r>
  <r>
    <n v="141"/>
    <s v="29B2C2601010"/>
    <s v="29B2C2601010 - PL03"/>
    <d v="2026-06-15T00:00:00"/>
    <s v="Dũng Thảo - Cầu Giấy"/>
    <s v="Facebook"/>
    <x v="1"/>
    <m/>
    <x v="2"/>
    <n v="132653426"/>
    <n v="143265700"/>
    <m/>
    <n v="108775809.31999999"/>
    <n v="0.18"/>
    <n v="23877616.68"/>
    <x v="14"/>
    <x v="3"/>
    <x v="3"/>
    <x v="1"/>
    <s v="Hà Nội"/>
    <x v="2"/>
    <d v="2026-01-05T00:00:00"/>
    <n v="2026"/>
    <x v="5"/>
    <x v="29"/>
  </r>
  <r>
    <n v="142"/>
    <s v="29B2B2606011"/>
    <s v="29B2B2606011 - BU HCM"/>
    <d v="2026-06-18T00:00:00"/>
    <s v="Nhà Máy Nước - BNA"/>
    <s v="Partner"/>
    <x v="5"/>
    <m/>
    <x v="2"/>
    <n v="1194053241"/>
    <n v="1289577500"/>
    <m/>
    <n v="955242592.79999995"/>
    <n v="0.2"/>
    <n v="238810648.20000002"/>
    <x v="6"/>
    <x v="0"/>
    <x v="2"/>
    <x v="0"/>
    <s v="Hà Nội"/>
    <x v="2"/>
    <d v="2026-02-03T00:00:00"/>
    <n v="2026"/>
    <x v="5"/>
    <x v="21"/>
  </r>
  <r>
    <n v="143"/>
    <s v="29B2B2606011"/>
    <s v="29B2B2606011 - BU 1"/>
    <d v="2026-06-18T00:00:00"/>
    <s v="Nhà Máy Nước - BNA"/>
    <s v="Partner"/>
    <x v="5"/>
    <m/>
    <x v="2"/>
    <n v="1194053241"/>
    <n v="1289577500"/>
    <m/>
    <n v="955242592.79999995"/>
    <n v="0.2"/>
    <n v="238810648.20000002"/>
    <x v="11"/>
    <x v="1"/>
    <x v="2"/>
    <x v="1"/>
    <s v="Hà Nội"/>
    <x v="2"/>
    <d v="2026-02-03T00:00:00"/>
    <n v="2026"/>
    <x v="5"/>
    <x v="21"/>
  </r>
  <r>
    <n v="144"/>
    <s v="29REN2606009"/>
    <s v="29REN2606009"/>
    <d v="2026-06-16T00:00:00"/>
    <s v="anh Giang - Gia hạn thuê Rental"/>
    <s v="Zalo"/>
    <x v="4"/>
    <m/>
    <x v="3"/>
    <n v="34755556"/>
    <n v="37536000"/>
    <m/>
    <n v="17377778"/>
    <n v="0.5"/>
    <n v="17377778"/>
    <x v="5"/>
    <x v="1"/>
    <x v="2"/>
    <x v="1"/>
    <s v="Hà Nội"/>
    <x v="2"/>
    <d v="2026-06-16T00:00:00"/>
    <n v="2026"/>
    <x v="5"/>
    <x v="3"/>
  </r>
  <r>
    <n v="145"/>
    <m/>
    <s v="Doanh số TMĐT M6W3"/>
    <d v="2026-06-20T00:00:00"/>
    <s v="Doanh số TMĐT M6W3"/>
    <s v="TMĐT"/>
    <x v="6"/>
    <m/>
    <x v="4"/>
    <n v="1256646"/>
    <n v="1357177.6800000002"/>
    <m/>
    <m/>
    <m/>
    <m/>
    <x v="28"/>
    <x v="4"/>
    <x v="0"/>
    <x v="1"/>
    <s v="Hà Nội"/>
    <x v="2"/>
    <m/>
    <n v="2026"/>
    <x v="5"/>
    <x v="5"/>
  </r>
  <r>
    <n v="146"/>
    <s v="29B2C2605013"/>
    <s v="29B2C2605013 - HĐTC"/>
    <d v="2026-06-22T00:00:00"/>
    <s v="Studio Minh Châu - Hà Đông"/>
    <s v="Facebook"/>
    <x v="1"/>
    <m/>
    <x v="2"/>
    <n v="118643721.29629628"/>
    <n v="128135219"/>
    <m/>
    <n v="83050604.907407403"/>
    <n v="0.3"/>
    <n v="35593116.388888881"/>
    <x v="14"/>
    <x v="3"/>
    <x v="0"/>
    <x v="1"/>
    <s v="Hà Nội - Hà Đông"/>
    <x v="2"/>
    <d v="2026-05-21T00:00:00"/>
    <n v="2026"/>
    <x v="5"/>
    <x v="6"/>
  </r>
  <r>
    <n v="147"/>
    <s v="51B2C2606012"/>
    <s v="51B2C2606012"/>
    <d v="2026-06-25T00:00:00"/>
    <s v="Anh Sơn - Dĩ An"/>
    <s v="Facebook"/>
    <x v="1"/>
    <m/>
    <x v="2"/>
    <n v="104632060.18518518"/>
    <n v="113002625"/>
    <m/>
    <n v="79520365.740740746"/>
    <n v="0.24"/>
    <n v="25111694.44444444"/>
    <x v="21"/>
    <x v="0"/>
    <x v="0"/>
    <x v="1"/>
    <s v="Hồ Chí Minh"/>
    <x v="2"/>
    <d v="2026-03-15T00:00:00"/>
    <n v="2026"/>
    <x v="5"/>
    <x v="18"/>
  </r>
  <r>
    <n v="148"/>
    <s v="29B2C2606016"/>
    <s v="29B2C2606016"/>
    <d v="2026-06-29T00:00:00"/>
    <s v="Chị Mai Phương"/>
    <s v="Facebook"/>
    <x v="1"/>
    <m/>
    <x v="1"/>
    <n v="2777778"/>
    <n v="3000000"/>
    <m/>
    <n v="2222222.4"/>
    <n v="0.2"/>
    <n v="555555.6"/>
    <x v="5"/>
    <x v="1"/>
    <x v="2"/>
    <x v="1"/>
    <s v="Hà Nội"/>
    <x v="2"/>
    <d v="2026-06-23T00:00:00"/>
    <n v="2026"/>
    <x v="5"/>
    <x v="10"/>
  </r>
  <r>
    <n v="149"/>
    <s v="29B2C2606014"/>
    <s v="29B2C2606014"/>
    <d v="2026-06-29T00:00:00"/>
    <s v="Anh Quân - Vimeco CT4"/>
    <s v="Zalo"/>
    <x v="4"/>
    <m/>
    <x v="1"/>
    <n v="23148148"/>
    <n v="25000000"/>
    <m/>
    <n v="18518518.399999999"/>
    <n v="0.2"/>
    <n v="4629629.6000000006"/>
    <x v="26"/>
    <x v="1"/>
    <x v="1"/>
    <x v="1"/>
    <s v="Hà Nội"/>
    <x v="2"/>
    <d v="2026-06-17T00:00:00"/>
    <n v="2026"/>
    <x v="5"/>
    <x v="10"/>
  </r>
  <r>
    <n v="150"/>
    <s v="29B2C2606017"/>
    <s v="29B2C2606017"/>
    <d v="2026-06-30T00:00:00"/>
    <s v="anh Tuấn Anh"/>
    <s v="Zalo"/>
    <x v="4"/>
    <m/>
    <x v="1"/>
    <n v="4740740.7407407407"/>
    <n v="5120000"/>
    <m/>
    <n v="3792592.5925925924"/>
    <n v="0.2"/>
    <n v="948148.1481481482"/>
    <x v="1"/>
    <x v="1"/>
    <x v="2"/>
    <x v="1"/>
    <s v="Hà Nội"/>
    <x v="2"/>
    <d v="2026-06-19T00:00:00"/>
    <n v="2026"/>
    <x v="5"/>
    <x v="23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">
  <r>
    <n v="1"/>
    <s v="16B2C2503037"/>
    <s v="16B2C2503037"/>
    <d v="2026-03-06T00:00:00"/>
    <s v="Chị Trang - Khách sạn Hải Phòng"/>
    <s v="Facebook"/>
    <s v="Facebook"/>
    <s v="Thi công"/>
    <n v="2981684518.5185184"/>
    <n v="3220219280"/>
    <m/>
    <s v="Phạm Nguyên Khánh"/>
    <x v="0"/>
    <s v="Làm nội thất lần đầu"/>
    <m/>
    <m/>
    <m/>
    <m/>
    <n v="2026"/>
    <n v="3"/>
    <n v="6"/>
    <s v="W1"/>
    <s v="Quý I"/>
    <s v="MKT"/>
    <x v="0"/>
  </r>
  <r>
    <n v="2"/>
    <s v="29B2C2512020"/>
    <s v="29B2C2512020 - HĐTC"/>
    <d v="2026-03-06T00:00:00"/>
    <s v="Chị Liên - Hoàng Minh Giám"/>
    <s v="Facebook"/>
    <s v="Facebook"/>
    <s v="Thi công"/>
    <n v="1018037037"/>
    <n v="1099479999.96"/>
    <m/>
    <s v="Nguyễn Lâm Vũ"/>
    <x v="1"/>
    <m/>
    <m/>
    <m/>
    <m/>
    <m/>
    <n v="2026"/>
    <n v="3"/>
    <n v="6"/>
    <s v="W1"/>
    <s v="Quý I"/>
    <s v="MKT"/>
    <x v="0"/>
  </r>
  <r>
    <n v="3"/>
    <s v="29B2C2601015"/>
    <s v="29B2C2601015 - HĐTC"/>
    <d v="2026-03-10T00:00:00"/>
    <s v="Chị My - Đông Anh"/>
    <s v="Facebook"/>
    <s v="Facebook"/>
    <s v="Thi công"/>
    <n v="419351162.96296293"/>
    <n v="452899256"/>
    <m/>
    <s v="Trần Thị Phương Thảo"/>
    <x v="1"/>
    <s v="Cải tạo thô + nội thất"/>
    <s v="B2C"/>
    <s v="Hà Nội"/>
    <s v="Nhà mặt đất"/>
    <d v="2026-01-20T00:00:00"/>
    <n v="2026"/>
    <n v="3"/>
    <n v="10"/>
    <s v="W2"/>
    <s v="Quý I"/>
    <s v="MKT"/>
    <x v="1"/>
  </r>
  <r>
    <n v="4"/>
    <s v="29B2B2512062"/>
    <s v="29B2B2512062 - HĐTC"/>
    <d v="2026-03-10T00:00:00"/>
    <s v="Chị Hoài - Gardenia Hàm Nghi"/>
    <s v="Facebook"/>
    <s v="Facebook"/>
    <s v="Thi công"/>
    <n v="206074074.07407406"/>
    <n v="222560000"/>
    <m/>
    <s v="Nguyễn Lâm Vũ"/>
    <x v="1"/>
    <s v="Cải tạo thô + nội thất"/>
    <s v="B2C"/>
    <s v="Hà Nội"/>
    <s v="Nhà mặt đất"/>
    <s v="19/12/2025"/>
    <n v="2026"/>
    <n v="3"/>
    <n v="10"/>
    <s v="W2"/>
    <s v="Quý I"/>
    <s v="MKT"/>
    <x v="1"/>
  </r>
  <r>
    <n v="5"/>
    <s v="29B2C2511040"/>
    <s v="29B2C2511040"/>
    <d v="2026-03-11T00:00:00"/>
    <s v="Chị Ngọc - Hoàng Hoa Thám"/>
    <s v="Facebook"/>
    <s v="Facebook"/>
    <s v="Thi công"/>
    <n v="433423825"/>
    <n v="468097731"/>
    <m/>
    <s v="Trần Tuấn Anh"/>
    <x v="2"/>
    <s v="Làm nội thất lần đầu"/>
    <m/>
    <m/>
    <m/>
    <m/>
    <n v="2026"/>
    <n v="3"/>
    <n v="11"/>
    <s v="W2"/>
    <s v="Quý I"/>
    <s v="MKT"/>
    <x v="0"/>
  </r>
  <r>
    <n v="6"/>
    <s v="29B2C2601014"/>
    <s v="29B2C2601014 - HĐTC"/>
    <d v="2026-03-11T00:00:00"/>
    <s v="Chị Trang Ecopark"/>
    <s v="Facebook"/>
    <s v="Facebook"/>
    <s v="Thi công"/>
    <n v="53205178.703703701"/>
    <n v="57461593"/>
    <m/>
    <s v="Phạm Nguyên Khánh"/>
    <x v="0"/>
    <s v="Làm nội thất lần đầu"/>
    <m/>
    <m/>
    <m/>
    <m/>
    <n v="2026"/>
    <n v="3"/>
    <n v="11"/>
    <s v="W2"/>
    <s v="Quý I"/>
    <s v="MKT"/>
    <x v="1"/>
  </r>
  <r>
    <n v="7"/>
    <s v="30B2C2601006"/>
    <s v="30B2C2601006 - HĐTC"/>
    <d v="2026-03-11T00:00:00"/>
    <s v="Chị Linh - Khai Sơn"/>
    <s v="Facebook"/>
    <s v="Facebook"/>
    <s v="Thi công"/>
    <n v="233418491.66666666"/>
    <n v="252091971"/>
    <m/>
    <s v="Dương Xuân Thái"/>
    <x v="2"/>
    <s v="Làm nội thất lần đầu"/>
    <m/>
    <m/>
    <m/>
    <m/>
    <n v="2026"/>
    <n v="3"/>
    <n v="11"/>
    <s v="W2"/>
    <s v="Quý I"/>
    <s v="MKT"/>
    <x v="1"/>
  </r>
  <r>
    <n v="8"/>
    <s v="29B2C2512036"/>
    <s v="29B2C2512056"/>
    <d v="2026-03-20T00:00:00"/>
    <s v="Cô Thuận - Cầu Giấy"/>
    <s v="Reference"/>
    <s v="Reference"/>
    <s v="Thi công"/>
    <n v="5555555555.5555553"/>
    <n v="6000000000"/>
    <m/>
    <s v="Ngô Thanh Tùng"/>
    <x v="2"/>
    <s v="Làm nội thất lần đầu"/>
    <m/>
    <m/>
    <m/>
    <m/>
    <n v="2026"/>
    <n v="3"/>
    <n v="20"/>
    <s v="W3"/>
    <s v="Quý I"/>
    <s v="MKT"/>
    <x v="0"/>
  </r>
  <r>
    <n v="9"/>
    <s v="29B2C2602010"/>
    <s v="29B2C2602010"/>
    <d v="2026-03-21T00:00:00"/>
    <s v="Anh Diệu - 671 Hoàng Hoa Thám"/>
    <s v="Facebook"/>
    <s v="Facebook"/>
    <s v="Thi công"/>
    <n v="73240740.740740731"/>
    <n v="79100000"/>
    <m/>
    <s v="Nguyễn Lâm Vũ"/>
    <x v="1"/>
    <s v="Cải tạo nội thất"/>
    <s v="B2C"/>
    <s v="Hà Nội"/>
    <s v="Chung cư"/>
    <n v="46024"/>
    <n v="2026"/>
    <n v="3"/>
    <n v="21"/>
    <s v="W3"/>
    <s v="Quý I"/>
    <s v="MKT"/>
    <x v="1"/>
  </r>
  <r>
    <n v="10"/>
    <s v="29B2B2505012"/>
    <s v="29B2B2505012"/>
    <d v="2026-03-30T00:00:00"/>
    <s v="Anh Ba - Việt Phú"/>
    <s v="Holding"/>
    <s v="Holding"/>
    <s v="Thiết kế"/>
    <n v="110400000"/>
    <n v="119232000"/>
    <m/>
    <s v="Trần Tuấn Anh"/>
    <x v="2"/>
    <m/>
    <m/>
    <m/>
    <m/>
    <m/>
    <n v="2026"/>
    <n v="3"/>
    <n v="30"/>
    <s v="W5"/>
    <s v="Quý I"/>
    <s v="MKT"/>
    <x v="0"/>
  </r>
  <r>
    <n v="11"/>
    <s v="29B2C2602004"/>
    <s v="29B2C2602004"/>
    <d v="2026-04-10T00:00:00"/>
    <s v="Chị Hảo - Vinsmart"/>
    <s v="Hotline"/>
    <s v="Hotline"/>
    <s v="Thi công"/>
    <n v="62801758.333333328"/>
    <n v="67825899"/>
    <m/>
    <s v="Phạm Nguyên Khánh"/>
    <x v="0"/>
    <m/>
    <m/>
    <m/>
    <m/>
    <m/>
    <n v="2026"/>
    <n v="4"/>
    <n v="10"/>
    <s v="W2"/>
    <s v="Quý II"/>
    <s v="MKT"/>
    <x v="1"/>
  </r>
  <r>
    <n v="12"/>
    <s v="29B2C2601010"/>
    <s v="29B2C2601010 - HĐTC Thô"/>
    <d v="2026-05-16T00:00:00"/>
    <s v="Dũng Thảo - Cầu Giấy"/>
    <s v="Facebook"/>
    <s v="Facebook"/>
    <s v="Thi công"/>
    <n v="368849437.96296293"/>
    <n v="398357393"/>
    <m/>
    <s v="Nguyễn Kiều Vân"/>
    <x v="2"/>
    <s v="Cải tạo thô + nội thất"/>
    <s v="B2C"/>
    <s v="Hà Nội"/>
    <s v="Chung cư"/>
    <d v="2026-01-05T00:00:00"/>
    <n v="2026"/>
    <n v="5"/>
    <n v="16"/>
    <s v="W2"/>
    <s v="Quý II"/>
    <s v="MKT"/>
    <x v="1"/>
  </r>
  <r>
    <n v="13"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B47C52-0CFE-46F5-B30C-F9638BA0E4F9}" name="PivotTable2" cacheId="4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compact="0" compactData="0" multipleFieldFilters="0">
  <location ref="AA1:AD10" firstHeaderRow="0" firstDataRow="1" firstDataCol="2"/>
  <pivotFields count="25">
    <pivotField compact="0" showAll="0"/>
    <pivotField compact="0" outline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dataField="1" compact="0" showAll="0"/>
    <pivotField compact="0" showAll="0"/>
    <pivotField compact="0" showAll="0"/>
    <pivotField axis="axisRow" compact="0" showAll="0">
      <items count="5">
        <item x="1"/>
        <item x="0"/>
        <item x="2"/>
        <item h="1"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/>
    <pivotField axis="axisRow" compact="0" showAll="0">
      <items count="4">
        <item x="0"/>
        <item x="1"/>
        <item x="2"/>
        <item t="default"/>
      </items>
    </pivotField>
  </pivotFields>
  <rowFields count="2">
    <field x="24"/>
    <field x="12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Doanh số đã chuyển đổi sang thi công" fld="8" baseField="0" baseItem="0" numFmtId="166"/>
    <dataField name="Số lượng đơn" fld="9" subtotal="count" baseField="0" baseItem="0"/>
  </dataFields>
  <formats count="33">
    <format dxfId="429">
      <pivotArea outline="0" collapsedLevelsAreSubtotals="1" fieldPosition="0"/>
    </format>
    <format dxfId="428">
      <pivotArea type="all" dataOnly="0" outline="0" fieldPosition="0"/>
    </format>
    <format dxfId="427">
      <pivotArea outline="0" collapsedLevelsAreSubtotals="1" fieldPosition="0"/>
    </format>
    <format dxfId="426">
      <pivotArea field="12" type="button" dataOnly="0" labelOnly="1" outline="0" axis="axisRow" fieldPosition="1"/>
    </format>
    <format dxfId="425">
      <pivotArea field="24" type="button" dataOnly="0" labelOnly="1" outline="0" axis="axisRow" fieldPosition="0"/>
    </format>
    <format dxfId="424">
      <pivotArea dataOnly="0" labelOnly="1" outline="0" fieldPosition="0">
        <references count="1">
          <reference field="12" count="0"/>
        </references>
      </pivotArea>
    </format>
    <format dxfId="423">
      <pivotArea dataOnly="0" labelOnly="1" grandRow="1" outline="0" fieldPosition="0"/>
    </format>
    <format dxfId="422">
      <pivotArea dataOnly="0" labelOnly="1" outline="0" fieldPosition="0">
        <references count="2">
          <reference field="12" count="1" selected="0">
            <x v="0"/>
          </reference>
          <reference field="24" count="2">
            <x v="0"/>
            <x v="1"/>
          </reference>
        </references>
      </pivotArea>
    </format>
    <format dxfId="421">
      <pivotArea dataOnly="0" labelOnly="1" outline="0" fieldPosition="0">
        <references count="2">
          <reference field="12" count="1" selected="0">
            <x v="1"/>
          </reference>
          <reference field="24" count="2">
            <x v="0"/>
            <x v="1"/>
          </reference>
        </references>
      </pivotArea>
    </format>
    <format dxfId="420">
      <pivotArea dataOnly="0" labelOnly="1" outline="0" fieldPosition="0">
        <references count="2">
          <reference field="12" count="1" selected="0">
            <x v="2"/>
          </reference>
          <reference field="24" count="2">
            <x v="0"/>
            <x v="1"/>
          </reference>
        </references>
      </pivotArea>
    </format>
    <format dxfId="419">
      <pivotArea dataOnly="0" labelOnly="1" outline="0" axis="axisValues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field="12" type="button" dataOnly="0" labelOnly="1" outline="0" axis="axisRow" fieldPosition="1"/>
    </format>
    <format dxfId="415">
      <pivotArea field="24" type="button" dataOnly="0" labelOnly="1" outline="0" axis="axisRow" fieldPosition="0"/>
    </format>
    <format dxfId="414">
      <pivotArea dataOnly="0" labelOnly="1" outline="0" fieldPosition="0">
        <references count="1">
          <reference field="12" count="0"/>
        </references>
      </pivotArea>
    </format>
    <format dxfId="413">
      <pivotArea dataOnly="0" labelOnly="1" grandRow="1" outline="0" fieldPosition="0"/>
    </format>
    <format dxfId="412">
      <pivotArea dataOnly="0" labelOnly="1" outline="0" fieldPosition="0">
        <references count="2">
          <reference field="12" count="1" selected="0">
            <x v="0"/>
          </reference>
          <reference field="24" count="2">
            <x v="0"/>
            <x v="1"/>
          </reference>
        </references>
      </pivotArea>
    </format>
    <format dxfId="411">
      <pivotArea dataOnly="0" labelOnly="1" outline="0" fieldPosition="0">
        <references count="2">
          <reference field="12" count="1" selected="0">
            <x v="1"/>
          </reference>
          <reference field="24" count="2">
            <x v="0"/>
            <x v="1"/>
          </reference>
        </references>
      </pivotArea>
    </format>
    <format dxfId="410">
      <pivotArea dataOnly="0" labelOnly="1" outline="0" fieldPosition="0">
        <references count="2">
          <reference field="12" count="1" selected="0">
            <x v="2"/>
          </reference>
          <reference field="24" count="2">
            <x v="0"/>
            <x v="1"/>
          </reference>
        </references>
      </pivotArea>
    </format>
    <format dxfId="409">
      <pivotArea dataOnly="0" labelOnly="1" outline="0" axis="axisValues" fieldPosition="0"/>
    </format>
    <format dxfId="408">
      <pivotArea dataOnly="0" labelOnly="1" outline="0" axis="axisValues" fieldPosition="0"/>
    </format>
    <format dxfId="407">
      <pivotArea dataOnly="0" labelOnly="1" outline="0" axis="axisValues" fieldPosition="0"/>
    </format>
    <format dxfId="4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5">
      <pivotArea field="24" type="button" dataOnly="0" labelOnly="1" outline="0" axis="axisRow" fieldPosition="0"/>
    </format>
    <format dxfId="404">
      <pivotArea field="12" type="button" dataOnly="0" labelOnly="1" outline="0" axis="axisRow" fieldPosition="1"/>
    </format>
    <format dxfId="4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2">
      <pivotArea fieldPosition="0">
        <references count="1">
          <reference field="24" count="1">
            <x v="0"/>
          </reference>
        </references>
      </pivotArea>
    </format>
    <format dxfId="401">
      <pivotArea outline="0" collapsedLevelsAreSubtotals="1" fieldPosition="0"/>
    </format>
    <format dxfId="400">
      <pivotArea dataOnly="0" labelOnly="1" outline="0" fieldPosition="0">
        <references count="1">
          <reference field="24" count="2">
            <x v="0"/>
            <x v="1"/>
          </reference>
        </references>
      </pivotArea>
    </format>
    <format dxfId="399">
      <pivotArea dataOnly="0" labelOnly="1" grandRow="1" outline="0" fieldPosition="0"/>
    </format>
    <format dxfId="398">
      <pivotArea dataOnly="0" labelOnly="1" outline="0" fieldPosition="0">
        <references count="2">
          <reference field="12" count="0"/>
          <reference field="24" count="1" selected="0">
            <x v="0"/>
          </reference>
        </references>
      </pivotArea>
    </format>
    <format dxfId="397">
      <pivotArea dataOnly="0" labelOnly="1" outline="0" fieldPosition="0">
        <references count="2">
          <reference field="12" count="0"/>
          <reference field="2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filters count="1">
    <filter fld="3" type="dateBetween" evalOrder="-1" id="4" name="Ngày ký HĐ">
      <autoFilter ref="A1">
        <filterColumn colId="0">
          <customFilters and="1">
            <customFilter operator="greaterThanOrEqual" val="46023"/>
            <customFilter operator="lessThanOrEqual" val="4605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6A2C9-6F2D-43E4-99DC-F57512EE662A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89:C94" firstHeaderRow="1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outline="0" showAll="0"/>
    <pivotField dataField="1"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2"/>
        <item x="4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6"/>
  </rowFields>
  <rowItems count="5">
    <i>
      <x v="11"/>
    </i>
    <i>
      <x v="16"/>
    </i>
    <i>
      <x v="17"/>
    </i>
    <i>
      <x v="15"/>
    </i>
    <i t="grand">
      <x/>
    </i>
  </rowItems>
  <colItems count="1">
    <i/>
  </colItems>
  <dataFields count="1">
    <dataField name=" Gross Profit_x000a_(Tạm tính)" fld="14" baseField="0" baseItem="0" numFmtId="166"/>
  </dataFields>
  <formats count="23"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16" type="button" dataOnly="0" labelOnly="1" outline="0" axis="axisRow" fieldPosition="0"/>
    </format>
    <format dxfId="32">
      <pivotArea field="15" type="button" dataOnly="0" labelOnly="1" outline="0"/>
    </format>
    <format dxfId="31">
      <pivotArea dataOnly="0" labelOnly="1" grandRow="1" outline="0" fieldPosition="0"/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16" type="button" dataOnly="0" labelOnly="1" outline="0" axis="axisRow" fieldPosition="0"/>
    </format>
    <format dxfId="27">
      <pivotArea outline="0" collapsedLevelsAreSubtotals="1" fieldPosition="0"/>
    </format>
    <format dxfId="26">
      <pivotArea field="16" type="button" dataOnly="0" labelOnly="1" outline="0" axis="axisRow" fieldPosition="0"/>
    </format>
    <format dxfId="25">
      <pivotArea dataOnly="0" labelOnly="1" outline="0" axis="axisValues" fieldPosition="0"/>
    </format>
    <format dxfId="24">
      <pivotArea field="16" type="button" dataOnly="0" labelOnly="1" outline="0" axis="axisRow" fieldPosition="0"/>
    </format>
    <format dxfId="23">
      <pivotArea dataOnly="0" labelOnly="1" outline="0" axis="axisValues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16" type="button" dataOnly="0" labelOnly="1" outline="0" axis="axisRow" fieldPosition="0"/>
    </format>
    <format dxfId="19">
      <pivotArea dataOnly="0" labelOnly="1" outline="0" fieldPosition="0">
        <references count="1">
          <reference field="16" count="0"/>
        </references>
      </pivotArea>
    </format>
    <format dxfId="18">
      <pivotArea dataOnly="0" labelOnly="1" grandRow="1" outline="0" fieldPosition="0"/>
    </format>
    <format dxfId="17">
      <pivotArea dataOnly="0" labelOnly="1" outline="0" axis="axisValues" fieldPosition="0"/>
    </format>
    <format dxfId="16">
      <pivotArea dataOnly="0" labelOnly="1" outline="0" axis="axisValues" fieldPosition="0"/>
    </format>
    <format dxfId="15">
      <pivotArea field="16" type="button" dataOnly="0" labelOnly="1" outline="0" axis="axisRow" fieldPosition="0"/>
    </format>
    <format dxfId="14">
      <pivotArea dataOnly="0" labelOnly="1" outline="0" axis="axisValues" fieldPosition="0"/>
    </format>
    <format dxfId="13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CA0770-CA4E-490E-A977-DEB557D2C208}" name="PivotTable18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07:D110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 sortType="descending">
      <items count="8">
        <item x="4"/>
        <item x="0"/>
        <item x="5"/>
        <item x="2"/>
        <item x="1"/>
        <item x="3"/>
        <item h="1" x="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compact="0" showAll="0"/>
    <pivotField axis="axisRow" compact="0" showAll="0">
      <items count="4">
        <item x="0"/>
        <item x="1"/>
        <item h="1" x="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18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2"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16" type="button" dataOnly="0" labelOnly="1" outline="0"/>
    </format>
    <format dxfId="44">
      <pivotArea field="15" type="button" dataOnly="0" labelOnly="1" outline="0"/>
    </format>
    <format dxfId="43">
      <pivotArea dataOnly="0" labelOnly="1" grandRow="1" outline="0" fieldPosition="0"/>
    </format>
    <format dxfId="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1">
      <pivotArea outline="0" fieldPosition="0">
        <references count="1">
          <reference field="4294967294" count="1" selected="0">
            <x v="1"/>
          </reference>
        </references>
      </pivotArea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8" type="button" dataOnly="0" labelOnly="1" outline="0"/>
    </format>
    <format dxfId="37">
      <pivotArea dataOnly="0" labelOnly="1" grandRow="1" outline="0" fieldPosition="0"/>
    </format>
    <format dxfId="3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8BD08B-779D-4B38-95F0-D9A23CD6A514}" name="PivotTable8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43:E164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>
      <items count="8">
        <item x="4"/>
        <item x="0"/>
        <item x="5"/>
        <item x="2"/>
        <item x="3"/>
        <item x="6"/>
        <item x="1"/>
        <item t="default"/>
      </items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2">
    <field x="16"/>
    <field x="8"/>
  </rowFields>
  <rowItems count="21">
    <i>
      <x v="11"/>
    </i>
    <i r="1">
      <x v="1"/>
    </i>
    <i r="1">
      <x v="3"/>
    </i>
    <i r="1">
      <x v="6"/>
    </i>
    <i>
      <x v="15"/>
    </i>
    <i r="1">
      <x/>
    </i>
    <i r="1">
      <x v="2"/>
    </i>
    <i r="1">
      <x v="3"/>
    </i>
    <i r="1">
      <x v="4"/>
    </i>
    <i r="1">
      <x v="6"/>
    </i>
    <i>
      <x v="17"/>
    </i>
    <i r="1">
      <x v="2"/>
    </i>
    <i r="1">
      <x v="3"/>
    </i>
    <i r="1">
      <x v="6"/>
    </i>
    <i>
      <x v="16"/>
    </i>
    <i r="1">
      <x v="1"/>
    </i>
    <i r="1">
      <x v="3"/>
    </i>
    <i r="1">
      <x v="6"/>
    </i>
    <i>
      <x v="1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0">
    <format dxfId="67">
      <pivotArea type="all" dataOnly="0" outline="0" fieldPosition="0"/>
    </format>
    <format dxfId="66">
      <pivotArea outline="0" collapsedLevelsAreSubtotals="1" fieldPosition="0"/>
    </format>
    <format dxfId="65">
      <pivotArea field="16" type="button" dataOnly="0" labelOnly="1" outline="0" axis="axisRow" fieldPosition="0"/>
    </format>
    <format dxfId="64">
      <pivotArea field="15" type="button" dataOnly="0" labelOnly="1" outline="0"/>
    </format>
    <format dxfId="63">
      <pivotArea dataOnly="0" labelOnly="1" outline="0" fieldPosition="0">
        <references count="1">
          <reference field="16" count="0"/>
        </references>
      </pivotArea>
    </format>
    <format dxfId="62">
      <pivotArea dataOnly="0" labelOnly="1" grandRow="1" outline="0" fieldPosition="0"/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16" type="button" dataOnly="0" labelOnly="1" outline="0" axis="axisRow" fieldPosition="0"/>
    </format>
    <format dxfId="56">
      <pivotArea field="8" type="button" dataOnly="0" labelOnly="1" outline="0" axis="axisRow" fieldPosition="1"/>
    </format>
    <format dxfId="55">
      <pivotArea dataOnly="0" labelOnly="1" outline="0" fieldPosition="0">
        <references count="1">
          <reference field="16" count="5">
            <x v="11"/>
            <x v="14"/>
            <x v="15"/>
            <x v="16"/>
            <x v="17"/>
          </reference>
        </references>
      </pivotArea>
    </format>
    <format dxfId="54">
      <pivotArea dataOnly="0" labelOnly="1" grandRow="1" outline="0" fieldPosition="0"/>
    </format>
    <format dxfId="53">
      <pivotArea dataOnly="0" labelOnly="1" outline="0" fieldPosition="0">
        <references count="2">
          <reference field="8" count="2">
            <x v="2"/>
            <x v="3"/>
          </reference>
          <reference field="16" count="1" selected="0">
            <x v="11"/>
          </reference>
        </references>
      </pivotArea>
    </format>
    <format dxfId="52">
      <pivotArea dataOnly="0" labelOnly="1" outline="0" fieldPosition="0">
        <references count="2">
          <reference field="8" count="1">
            <x v="0"/>
          </reference>
          <reference field="16" count="1" selected="0">
            <x v="14"/>
          </reference>
        </references>
      </pivotArea>
    </format>
    <format dxfId="51">
      <pivotArea dataOnly="0" labelOnly="1" outline="0" fieldPosition="0">
        <references count="2">
          <reference field="8" count="4">
            <x v="2"/>
            <x v="3"/>
            <x v="4"/>
            <x v="6"/>
          </reference>
          <reference field="16" count="1" selected="0">
            <x v="15"/>
          </reference>
        </references>
      </pivotArea>
    </format>
    <format dxfId="50">
      <pivotArea dataOnly="0" labelOnly="1" outline="0" fieldPosition="0">
        <references count="2">
          <reference field="8" count="3">
            <x v="2"/>
            <x v="3"/>
            <x v="6"/>
          </reference>
          <reference field="16" count="1" selected="0">
            <x v="16"/>
          </reference>
        </references>
      </pivotArea>
    </format>
    <format dxfId="49">
      <pivotArea dataOnly="0" labelOnly="1" outline="0" fieldPosition="0">
        <references count="2">
          <reference field="8" count="1">
            <x v="2"/>
          </reference>
          <reference field="16" count="1" selected="0">
            <x v="17"/>
          </reference>
        </references>
      </pivotArea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1AB215-E843-4B96-93B4-92EA1F84EFDC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12:D119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x="5"/>
        <item x="2"/>
        <item x="1"/>
        <item x="3"/>
        <item h="1" x="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8"/>
  </rowFields>
  <rowItems count="7">
    <i>
      <x v="3"/>
    </i>
    <i>
      <x v="2"/>
    </i>
    <i>
      <x v="4"/>
    </i>
    <i>
      <x v="1"/>
    </i>
    <i>
      <x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3">
    <format dxfId="80">
      <pivotArea type="all" dataOnly="0" outline="0" fieldPosition="0"/>
    </format>
    <format dxfId="79">
      <pivotArea outline="0" collapsedLevelsAreSubtotals="1" fieldPosition="0"/>
    </format>
    <format dxfId="78">
      <pivotArea field="16" type="button" dataOnly="0" labelOnly="1" outline="0"/>
    </format>
    <format dxfId="77">
      <pivotArea field="15" type="button" dataOnly="0" labelOnly="1" outline="0"/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">
      <pivotArea outline="0" fieldPosition="0">
        <references count="1">
          <reference field="4294967294" count="1" selected="0">
            <x v="1"/>
          </reference>
        </references>
      </pivotArea>
    </format>
    <format dxfId="73">
      <pivotArea type="all" dataOnly="0" outline="0" fieldPosition="0"/>
    </format>
    <format dxfId="72">
      <pivotArea outline="0" collapsedLevelsAreSubtotals="1" fieldPosition="0"/>
    </format>
    <format dxfId="71">
      <pivotArea field="8" type="button" dataOnly="0" labelOnly="1" outline="0" axis="axisRow" fieldPosition="0"/>
    </format>
    <format dxfId="70">
      <pivotArea dataOnly="0" labelOnly="1" outline="0" fieldPosition="0">
        <references count="1">
          <reference field="8" count="0"/>
        </references>
      </pivotArea>
    </format>
    <format dxfId="69">
      <pivotArea dataOnly="0" labelOnly="1" grandRow="1" outline="0" fieldPosition="0"/>
    </format>
    <format dxfId="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5F809-7D53-435A-BD34-2EB5B15E6BCB}" name="PivotTable1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7:D34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axis="axisRow" compact="0" outline="0" showAll="0" sortType="descending">
      <items count="16">
        <item x="0"/>
        <item x="1"/>
        <item x="8"/>
        <item x="5"/>
        <item x="2"/>
        <item x="7"/>
        <item x="9"/>
        <item m="1" x="12"/>
        <item x="3"/>
        <item x="4"/>
        <item x="11"/>
        <item m="1" x="13"/>
        <item m="1" x="14"/>
        <item x="6"/>
        <item x="1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6"/>
  </rowFields>
  <rowItems count="7">
    <i>
      <x v="14"/>
    </i>
    <i>
      <x v="1"/>
    </i>
    <i>
      <x v="4"/>
    </i>
    <i>
      <x v="5"/>
    </i>
    <i>
      <x/>
    </i>
    <i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7">
    <format dxfId="97">
      <pivotArea type="all" dataOnly="0" outline="0" fieldPosition="0"/>
    </format>
    <format dxfId="96">
      <pivotArea outline="0" collapsedLevelsAreSubtotals="1" fieldPosition="0"/>
    </format>
    <format dxfId="95">
      <pivotArea field="16" type="button" dataOnly="0" labelOnly="1" outline="0"/>
    </format>
    <format dxfId="94">
      <pivotArea field="15" type="button" dataOnly="0" labelOnly="1" outline="0"/>
    </format>
    <format dxfId="93">
      <pivotArea dataOnly="0" labelOnly="1" grandRow="1" outline="0" fieldPosition="0"/>
    </format>
    <format dxfId="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1">
      <pivotArea outline="0" fieldPosition="0">
        <references count="1">
          <reference field="4294967294" count="1" selected="0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6" type="button" dataOnly="0" labelOnly="1" outline="0" axis="axisRow" fieldPosition="0"/>
    </format>
    <format dxfId="87">
      <pivotArea dataOnly="0" labelOnly="1" outline="0" fieldPosition="0">
        <references count="1">
          <reference field="6" count="3">
            <x v="0"/>
            <x v="1"/>
            <x v="5"/>
          </reference>
        </references>
      </pivotArea>
    </format>
    <format dxfId="86">
      <pivotArea dataOnly="0" labelOnly="1" grandRow="1" outline="0" fieldPosition="0"/>
    </format>
    <format dxfId="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4">
      <pivotArea outline="0" fieldPosition="0">
        <references count="1">
          <reference field="6" count="1" selected="0">
            <x v="1"/>
          </reference>
        </references>
      </pivotArea>
    </format>
    <format dxfId="83">
      <pivotArea dataOnly="0" labelOnly="1" outline="0" fieldPosition="0">
        <references count="1">
          <reference field="6" count="1">
            <x v="1"/>
          </reference>
        </references>
      </pivotArea>
    </format>
    <format dxfId="82">
      <pivotArea field="6" type="button" dataOnly="0" labelOnly="1" outline="0" axis="axisRow" fieldPosition="0"/>
    </format>
    <format dxfId="8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39A956-5544-4669-BAB0-9A5364EC6188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75:E187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axis="axisRow"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h="1" m="1" x="10"/>
        <item m="1" x="9"/>
        <item h="1" m="1" x="11"/>
        <item h="1" x="5"/>
        <item m="1" x="16"/>
        <item h="1" m="1" x="17"/>
        <item h="1" m="1" x="12"/>
        <item h="1" m="1" x="13"/>
        <item h="1" m="1" x="14"/>
        <item h="1" m="1" x="15"/>
        <item m="1" x="6"/>
        <item h="1" x="0"/>
        <item h="1" m="1" x="7"/>
        <item h="1" m="1" x="8"/>
        <item h="1" x="4"/>
        <item x="1"/>
        <item h="1"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2">
    <field x="16"/>
    <field x="15"/>
  </rowFields>
  <rowItems count="12">
    <i>
      <x v="15"/>
    </i>
    <i r="1">
      <x v="1"/>
    </i>
    <i r="1">
      <x v="4"/>
    </i>
    <i r="1">
      <x v="9"/>
    </i>
    <i r="1">
      <x v="10"/>
    </i>
    <i r="1">
      <x v="11"/>
    </i>
    <i r="1">
      <x v="12"/>
    </i>
    <i r="1">
      <x v="16"/>
    </i>
    <i r="1">
      <x v="31"/>
    </i>
    <i r="1">
      <x v="32"/>
    </i>
    <i r="1">
      <x v="37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4">
    <format dxfId="111">
      <pivotArea type="all" dataOnly="0" outline="0" fieldPosition="0"/>
    </format>
    <format dxfId="110">
      <pivotArea outline="0" collapsedLevelsAreSubtotals="1" fieldPosition="0"/>
    </format>
    <format dxfId="109">
      <pivotArea field="16" type="button" dataOnly="0" labelOnly="1" outline="0" axis="axisRow" fieldPosition="0"/>
    </format>
    <format dxfId="108">
      <pivotArea field="15" type="button" dataOnly="0" labelOnly="1" outline="0" axis="axisRow" fieldPosition="1"/>
    </format>
    <format dxfId="107">
      <pivotArea dataOnly="0" labelOnly="1" outline="0" fieldPosition="0">
        <references count="1">
          <reference field="16" count="0"/>
        </references>
      </pivotArea>
    </format>
    <format dxfId="106">
      <pivotArea dataOnly="0" labelOnly="1" grandRow="1" outline="0" fieldPosition="0"/>
    </format>
    <format dxfId="1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4">
      <pivotArea outline="0" fieldPosition="0">
        <references count="1">
          <reference field="4294967294" count="1" selected="0">
            <x v="1"/>
          </reference>
        </references>
      </pivotArea>
    </format>
    <format dxfId="103">
      <pivotArea type="all" dataOnly="0" outline="0" fieldPosition="0"/>
    </format>
    <format dxfId="102">
      <pivotArea outline="0" collapsedLevelsAreSubtotals="1" fieldPosition="0"/>
    </format>
    <format dxfId="101">
      <pivotArea field="16" type="button" dataOnly="0" labelOnly="1" outline="0" axis="axisRow" fieldPosition="0"/>
    </format>
    <format dxfId="100">
      <pivotArea dataOnly="0" labelOnly="1" outline="0" fieldPosition="0">
        <references count="1">
          <reference field="16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249A2A-AF82-4F5E-A112-069D8EDD1B79}" name="PivotTable9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05:E219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 sortType="descending">
      <items count="8">
        <item x="4"/>
        <item x="0"/>
        <item x="5"/>
        <item x="2"/>
        <item x="1"/>
        <item x="3"/>
        <item h="1" x="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axis="axisRow" compact="0" showAll="0">
      <items count="10">
        <item x="2"/>
        <item x="3"/>
        <item x="1"/>
        <item x="4"/>
        <item x="0"/>
        <item m="1" x="8"/>
        <item x="6"/>
        <item m="1" x="7"/>
        <item x="5"/>
        <item t="default"/>
      </items>
    </pivotField>
    <pivotField compact="0" showAll="0"/>
    <pivotField compact="0" showAll="0"/>
    <pivotField axis="axisRow" compact="0" showAll="0">
      <items count="16">
        <item m="1" x="9"/>
        <item x="2"/>
        <item m="1" x="13"/>
        <item h="1" x="4"/>
        <item x="7"/>
        <item m="1" x="14"/>
        <item x="1"/>
        <item h="1" x="5"/>
        <item h="1" x="0"/>
        <item x="3"/>
        <item x="8"/>
        <item h="1" m="1" x="10"/>
        <item h="1" m="1" x="11"/>
        <item h="1" m="1" x="12"/>
        <item h="1" x="6"/>
        <item t="default"/>
      </items>
    </pivotField>
    <pivotField compact="0" showAll="0"/>
    <pivotField compact="0" showAll="0"/>
    <pivotField compact="0" showAll="0">
      <items count="8">
        <item x="0"/>
        <item x="1"/>
        <item x="2"/>
        <item x="3"/>
        <item h="1" x="4"/>
        <item h="1" x="5"/>
        <item h="1" x="6"/>
        <item t="default"/>
      </items>
    </pivotField>
    <pivotField compact="0" showAll="0"/>
  </pivotFields>
  <rowFields count="2">
    <field x="17"/>
    <field x="20"/>
  </rowFields>
  <rowItems count="14">
    <i>
      <x/>
    </i>
    <i r="1">
      <x v="1"/>
    </i>
    <i r="1">
      <x v="6"/>
    </i>
    <i r="1">
      <x v="9"/>
    </i>
    <i>
      <x v="1"/>
    </i>
    <i r="1">
      <x v="9"/>
    </i>
    <i>
      <x v="2"/>
    </i>
    <i r="1">
      <x v="1"/>
    </i>
    <i r="1">
      <x v="6"/>
    </i>
    <i r="1">
      <x v="9"/>
    </i>
    <i>
      <x v="4"/>
    </i>
    <i r="1">
      <x v="1"/>
    </i>
    <i r="1"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3">
    <format dxfId="134">
      <pivotArea type="all" dataOnly="0" outline="0" fieldPosition="0"/>
    </format>
    <format dxfId="133">
      <pivotArea outline="0" collapsedLevelsAreSubtotals="1" fieldPosition="0"/>
    </format>
    <format dxfId="132">
      <pivotArea field="16" type="button" dataOnly="0" labelOnly="1" outline="0"/>
    </format>
    <format dxfId="131">
      <pivotArea field="15" type="button" dataOnly="0" labelOnly="1" outline="0"/>
    </format>
    <format dxfId="130">
      <pivotArea dataOnly="0" labelOnly="1" grandRow="1" outline="0" fieldPosition="0"/>
    </format>
    <format dxfId="1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8">
      <pivotArea outline="0" fieldPosition="0">
        <references count="1">
          <reference field="4294967294" count="1" selected="0">
            <x v="1"/>
          </reference>
        </references>
      </pivotArea>
    </format>
    <format dxfId="127">
      <pivotArea type="all" dataOnly="0" outline="0" fieldPosition="0"/>
    </format>
    <format dxfId="126">
      <pivotArea outline="0" collapsedLevelsAreSubtotals="1" fieldPosition="0"/>
    </format>
    <format dxfId="125">
      <pivotArea field="8" type="button" dataOnly="0" labelOnly="1" outline="0"/>
    </format>
    <format dxfId="124">
      <pivotArea dataOnly="0" labelOnly="1" grandRow="1" outline="0" fieldPosition="0"/>
    </format>
    <format dxfId="1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field="17" type="button" dataOnly="0" labelOnly="1" outline="0" axis="axisRow" fieldPosition="0"/>
    </format>
    <format dxfId="119">
      <pivotArea field="20" type="button" dataOnly="0" labelOnly="1" outline="0" axis="axisRow" fieldPosition="1"/>
    </format>
    <format dxfId="118">
      <pivotArea dataOnly="0" labelOnly="1" outline="0" fieldPosition="0">
        <references count="1">
          <reference field="17" count="4">
            <x v="0"/>
            <x v="1"/>
            <x v="2"/>
            <x v="4"/>
          </reference>
        </references>
      </pivotArea>
    </format>
    <format dxfId="117">
      <pivotArea dataOnly="0" labelOnly="1" grandRow="1" outline="0" fieldPosition="0"/>
    </format>
    <format dxfId="116">
      <pivotArea dataOnly="0" labelOnly="1" outline="0" fieldPosition="0">
        <references count="2">
          <reference field="17" count="1" selected="0">
            <x v="0"/>
          </reference>
          <reference field="20" count="5">
            <x v="1"/>
            <x v="3"/>
            <x v="6"/>
            <x v="8"/>
            <x v="9"/>
          </reference>
        </references>
      </pivotArea>
    </format>
    <format dxfId="115">
      <pivotArea dataOnly="0" labelOnly="1" outline="0" fieldPosition="0">
        <references count="2">
          <reference field="17" count="1" selected="0">
            <x v="1"/>
          </reference>
          <reference field="20" count="1">
            <x v="9"/>
          </reference>
        </references>
      </pivotArea>
    </format>
    <format dxfId="114">
      <pivotArea dataOnly="0" labelOnly="1" outline="0" fieldPosition="0">
        <references count="2">
          <reference field="17" count="1" selected="0">
            <x v="2"/>
          </reference>
          <reference field="20" count="4">
            <x v="1"/>
            <x v="6"/>
            <x v="8"/>
            <x v="9"/>
          </reference>
        </references>
      </pivotArea>
    </format>
    <format dxfId="113">
      <pivotArea dataOnly="0" labelOnly="1" outline="0" fieldPosition="0">
        <references count="2">
          <reference field="17" count="1" selected="0">
            <x v="4"/>
          </reference>
          <reference field="20" count="5">
            <x v="1"/>
            <x v="3"/>
            <x v="6"/>
            <x v="7"/>
            <x v="8"/>
          </reference>
        </references>
      </pivotArea>
    </format>
    <format dxfId="1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EBDA7C-890E-4810-8186-B58DA0BDB10F}" name="PivotTable1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21:D133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axis="axisRow" compact="0" outline="0" showAll="0" sortType="descending">
      <items count="16">
        <item x="0"/>
        <item x="1"/>
        <item x="8"/>
        <item x="5"/>
        <item x="2"/>
        <item x="7"/>
        <item x="9"/>
        <item m="1" x="12"/>
        <item x="3"/>
        <item x="4"/>
        <item h="1" x="11"/>
        <item m="1" x="13"/>
        <item m="1" x="14"/>
        <item x="6"/>
        <item x="1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6"/>
  </rowFields>
  <rowItems count="12">
    <i>
      <x/>
    </i>
    <i>
      <x v="1"/>
    </i>
    <i>
      <x v="4"/>
    </i>
    <i>
      <x v="14"/>
    </i>
    <i>
      <x v="3"/>
    </i>
    <i>
      <x v="5"/>
    </i>
    <i>
      <x v="9"/>
    </i>
    <i>
      <x v="6"/>
    </i>
    <i>
      <x v="2"/>
    </i>
    <i>
      <x v="13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3">
    <format dxfId="147">
      <pivotArea type="all" dataOnly="0" outline="0" fieldPosition="0"/>
    </format>
    <format dxfId="146">
      <pivotArea outline="0" collapsedLevelsAreSubtotals="1" fieldPosition="0"/>
    </format>
    <format dxfId="145">
      <pivotArea field="16" type="button" dataOnly="0" labelOnly="1" outline="0"/>
    </format>
    <format dxfId="144">
      <pivotArea field="15" type="button" dataOnly="0" labelOnly="1" outline="0"/>
    </format>
    <format dxfId="143">
      <pivotArea dataOnly="0" labelOnly="1" grandRow="1" outline="0" fieldPosition="0"/>
    </format>
    <format dxfId="1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1">
      <pivotArea outline="0" fieldPosition="0">
        <references count="1">
          <reference field="4294967294" count="1" selected="0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6" type="button" dataOnly="0" labelOnly="1" outline="0" axis="axisRow" fieldPosition="0"/>
    </format>
    <format dxfId="137">
      <pivotArea dataOnly="0" labelOnly="1" outline="0" fieldPosition="0">
        <references count="1">
          <reference field="6" count="0"/>
        </references>
      </pivotArea>
    </format>
    <format dxfId="136">
      <pivotArea dataOnly="0" labelOnly="1" grandRow="1" outline="0" fieldPosition="0"/>
    </format>
    <format dxfId="1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9CB739-7A60-48CE-A4E4-AE9178ED6A6C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99:D105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16"/>
  </rowFields>
  <rowItems count="6">
    <i>
      <x v="11"/>
    </i>
    <i>
      <x v="15"/>
    </i>
    <i>
      <x v="17"/>
    </i>
    <i>
      <x v="16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4">
    <format dxfId="161">
      <pivotArea type="all" dataOnly="0" outline="0" fieldPosition="0"/>
    </format>
    <format dxfId="160">
      <pivotArea outline="0" collapsedLevelsAreSubtotals="1" fieldPosition="0"/>
    </format>
    <format dxfId="159">
      <pivotArea field="16" type="button" dataOnly="0" labelOnly="1" outline="0" axis="axisRow" fieldPosition="0"/>
    </format>
    <format dxfId="158">
      <pivotArea field="15" type="button" dataOnly="0" labelOnly="1" outline="0"/>
    </format>
    <format dxfId="157">
      <pivotArea dataOnly="0" labelOnly="1" outline="0" fieldPosition="0">
        <references count="1">
          <reference field="16" count="0"/>
        </references>
      </pivotArea>
    </format>
    <format dxfId="156">
      <pivotArea dataOnly="0" labelOnly="1" grandRow="1" outline="0" fieldPosition="0"/>
    </format>
    <format dxfId="1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4">
      <pivotArea outline="0" fieldPosition="0">
        <references count="1">
          <reference field="4294967294" count="1" selected="0">
            <x v="1"/>
          </reference>
        </references>
      </pivotArea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field="16" type="button" dataOnly="0" labelOnly="1" outline="0" axis="axisRow" fieldPosition="0"/>
    </format>
    <format dxfId="150">
      <pivotArea dataOnly="0" labelOnly="1" outline="0" fieldPosition="0">
        <references count="1">
          <reference field="16" count="0"/>
        </references>
      </pivotArea>
    </format>
    <format dxfId="149">
      <pivotArea dataOnly="0" labelOnly="1" grandRow="1" outline="0" fieldPosition="0"/>
    </format>
    <format dxfId="1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2BD558-9CA5-4E7C-9FAE-2E44443F19F6}" name="PivotTable15" cacheId="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B77:D86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axis="axisRow" compact="0" outline="0" showAll="0" sortType="descending">
      <items count="16">
        <item x="0"/>
        <item x="1"/>
        <item x="5"/>
        <item x="2"/>
        <item x="7"/>
        <item m="1" x="12"/>
        <item x="3"/>
        <item x="4"/>
        <item x="11"/>
        <item x="8"/>
        <item x="9"/>
        <item m="1" x="13"/>
        <item m="1" x="14"/>
        <item x="6"/>
        <item x="1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h="1" m="1" x="6"/>
        <item h="1" x="0"/>
        <item h="1" m="1" x="7"/>
        <item h="1" m="1" x="8"/>
        <item h="1" x="4"/>
        <item h="1" x="1"/>
        <item h="1" x="2"/>
        <item h="1"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6"/>
  </rowFields>
  <rowItems count="9">
    <i>
      <x v="2"/>
    </i>
    <i>
      <x v="14"/>
    </i>
    <i>
      <x v="1"/>
    </i>
    <i>
      <x v="7"/>
    </i>
    <i>
      <x/>
    </i>
    <i>
      <x v="9"/>
    </i>
    <i>
      <x v="6"/>
    </i>
    <i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3">
    <format dxfId="184">
      <pivotArea type="all" dataOnly="0" outline="0" fieldPosition="0"/>
    </format>
    <format dxfId="183">
      <pivotArea outline="0" collapsedLevelsAreSubtotals="1" fieldPosition="0"/>
    </format>
    <format dxfId="182">
      <pivotArea field="16" type="button" dataOnly="0" labelOnly="1" outline="0"/>
    </format>
    <format dxfId="181">
      <pivotArea field="15" type="button" dataOnly="0" labelOnly="1" outline="0"/>
    </format>
    <format dxfId="180">
      <pivotArea dataOnly="0" labelOnly="1" grandRow="1" outline="0" fieldPosition="0"/>
    </format>
    <format dxfId="1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8">
      <pivotArea outline="0" fieldPosition="0">
        <references count="1">
          <reference field="4294967294" count="1" selected="0">
            <x v="1"/>
          </reference>
        </references>
      </pivotArea>
    </format>
    <format dxfId="177">
      <pivotArea type="all" dataOnly="0" outline="0" fieldPosition="0"/>
    </format>
    <format dxfId="176">
      <pivotArea field="6" type="button" dataOnly="0" labelOnly="1" outline="0" axis="axisRow" fieldPosition="0"/>
    </format>
    <format dxfId="175">
      <pivotArea dataOnly="0" labelOnly="1" outline="0" fieldPosition="0">
        <references count="1">
          <reference field="6" count="8">
            <x v="0"/>
            <x v="1"/>
            <x v="4"/>
            <x v="5"/>
            <x v="6"/>
            <x v="7"/>
            <x v="9"/>
            <x v="10"/>
          </reference>
        </references>
      </pivotArea>
    </format>
    <format dxfId="1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3">
      <pivotArea field="6" type="button" dataOnly="0" labelOnly="1" outline="0" axis="axisRow" fieldPosition="0"/>
    </format>
    <format dxfId="1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1">
      <pivotArea type="all" dataOnly="0" outline="0" fieldPosition="0"/>
    </format>
    <format dxfId="170">
      <pivotArea outline="0" collapsedLevelsAreSubtotals="1" fieldPosition="0"/>
    </format>
    <format dxfId="169">
      <pivotArea field="6" type="button" dataOnly="0" labelOnly="1" outline="0" axis="axisRow" fieldPosition="0"/>
    </format>
    <format dxfId="168">
      <pivotArea dataOnly="0" labelOnly="1" outline="0" fieldPosition="0">
        <references count="1">
          <reference field="6" count="7">
            <x v="0"/>
            <x v="1"/>
            <x v="2"/>
            <x v="3"/>
            <x v="7"/>
            <x v="13"/>
            <x v="14"/>
          </reference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5">
      <pivotArea outline="0" fieldPosition="0">
        <references count="1">
          <reference field="6" count="1" selected="0">
            <x v="0"/>
          </reference>
        </references>
      </pivotArea>
    </format>
    <format dxfId="164">
      <pivotArea field="6" type="button" dataOnly="0" labelOnly="1" outline="0" axis="axisRow" fieldPosition="0"/>
    </format>
    <format dxfId="163">
      <pivotArea dataOnly="0" labelOnly="1" outline="0" fieldPosition="0">
        <references count="1">
          <reference field="6" count="1">
            <x v="0"/>
          </reference>
        </references>
      </pivotArea>
    </format>
    <format dxfId="1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74F7FF-F25D-4E6D-8C0C-8E3FB09903E2}" name="PivotTable2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65:D273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8">
        <item x="4"/>
        <item x="0"/>
        <item x="5"/>
        <item x="2"/>
        <item x="3"/>
        <item x="6"/>
        <item x="1"/>
        <item t="default"/>
      </items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/>
  </pivotFields>
  <rowFields count="1">
    <field x="2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3"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16" type="button" dataOnly="0" labelOnly="1" outline="0"/>
    </format>
    <format dxfId="194">
      <pivotArea field="15" type="button" dataOnly="0" labelOnly="1" outline="0"/>
    </format>
    <format dxfId="193">
      <pivotArea dataOnly="0" labelOnly="1" grandRow="1" outline="0" fieldPosition="0"/>
    </format>
    <format dxfId="1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1">
      <pivotArea outline="0" fieldPosition="0">
        <references count="1">
          <reference field="4294967294" count="1" selected="0">
            <x v="1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16" type="button" dataOnly="0" labelOnly="1" outline="0"/>
    </format>
    <format dxfId="187">
      <pivotArea field="8" type="button" dataOnly="0" labelOnly="1" outline="0"/>
    </format>
    <format dxfId="186">
      <pivotArea dataOnly="0" labelOnly="1" grandRow="1" outline="0" fieldPosition="0"/>
    </format>
    <format dxfId="1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8CE26D-DE24-415D-B6A8-BA57E7FF99F2}" name="PivotTable10" cacheId="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B223:E230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x="5"/>
        <item x="2"/>
        <item x="1"/>
        <item x="3"/>
        <item h="1" x="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>
      <items count="19">
        <item h="1" m="1" x="10"/>
        <item h="1" m="1" x="9"/>
        <item h="1" m="1" x="11"/>
        <item h="1" x="5"/>
        <item h="1" m="1" x="16"/>
        <item h="1" m="1" x="17"/>
        <item h="1" m="1" x="12"/>
        <item h="1" m="1" x="13"/>
        <item h="1" m="1" x="14"/>
        <item h="1" m="1" x="15"/>
        <item h="1" m="1" x="6"/>
        <item h="1" x="0"/>
        <item h="1" m="1" x="7"/>
        <item h="1" m="1" x="8"/>
        <item h="1" x="4"/>
        <item x="1"/>
        <item h="1" x="2"/>
        <item h="1" x="3"/>
        <item t="default"/>
      </items>
    </pivotField>
    <pivotField compact="0" showAll="0">
      <items count="10">
        <item x="2"/>
        <item x="3"/>
        <item x="1"/>
        <item x="4"/>
        <item x="0"/>
        <item m="1" x="8"/>
        <item x="6"/>
        <item m="1" x="7"/>
        <item x="5"/>
        <item t="default"/>
      </items>
    </pivotField>
    <pivotField compact="0" showAll="0"/>
    <pivotField compact="0" showAll="0"/>
    <pivotField compact="0" showAll="0">
      <items count="16">
        <item m="1" x="9"/>
        <item x="2"/>
        <item m="1" x="13"/>
        <item h="1" x="4"/>
        <item x="7"/>
        <item m="1" x="14"/>
        <item x="1"/>
        <item h="1" x="5"/>
        <item h="1" x="0"/>
        <item x="3"/>
        <item x="8"/>
        <item h="1" m="1" x="10"/>
        <item h="1" m="1" x="11"/>
        <item h="1" m="1" x="12"/>
        <item h="1" x="6"/>
        <item t="default"/>
      </items>
    </pivotField>
    <pivotField compact="0" showAll="0"/>
    <pivotField compact="0" showAll="0"/>
    <pivotField compact="0" showAll="0">
      <items count="8">
        <item x="0"/>
        <item x="1"/>
        <item x="2"/>
        <item x="3"/>
        <item h="1" x="4"/>
        <item h="1" x="5"/>
        <item h="1" x="6"/>
        <item t="default"/>
      </items>
    </pivotField>
    <pivotField compact="0" showAll="0"/>
  </pivotFields>
  <rowFields count="2">
    <field x="16"/>
    <field x="8"/>
  </rowFields>
  <rowItems count="7">
    <i>
      <x v="15"/>
    </i>
    <i r="1">
      <x v="3"/>
    </i>
    <i r="1">
      <x v="2"/>
    </i>
    <i r="1">
      <x v="4"/>
    </i>
    <i r="1">
      <x/>
    </i>
    <i r="1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8"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16" type="button" dataOnly="0" labelOnly="1" outline="0" axis="axisRow" fieldPosition="0"/>
    </format>
    <format dxfId="212">
      <pivotArea field="15" type="button" dataOnly="0" labelOnly="1" outline="0"/>
    </format>
    <format dxfId="211">
      <pivotArea dataOnly="0" labelOnly="1" grandRow="1" outline="0" fieldPosition="0"/>
    </format>
    <format dxfId="2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9">
      <pivotArea outline="0" fieldPosition="0">
        <references count="1">
          <reference field="4294967294" count="1" selected="0">
            <x v="1"/>
          </reference>
        </references>
      </pivotArea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field="8" type="button" dataOnly="0" labelOnly="1" outline="0" axis="axisRow" fieldPosition="1"/>
    </format>
    <format dxfId="205">
      <pivotArea dataOnly="0" labelOnly="1" grandRow="1" outline="0" fieldPosition="0"/>
    </format>
    <format dxfId="2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3">
      <pivotArea type="all" dataOnly="0" outline="0" fieldPosition="0"/>
    </format>
    <format dxfId="202">
      <pivotArea outline="0" collapsedLevelsAreSubtotals="1" fieldPosition="0"/>
    </format>
    <format dxfId="201">
      <pivotArea field="17" type="button" dataOnly="0" labelOnly="1" outline="0"/>
    </format>
    <format dxfId="200">
      <pivotArea field="20" type="button" dataOnly="0" labelOnly="1" outline="0"/>
    </format>
    <format dxfId="199">
      <pivotArea dataOnly="0" labelOnly="1" grandRow="1" outline="0" fieldPosition="0"/>
    </format>
    <format dxfId="1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E3E6C5-85D8-4550-A321-315B5E8C126F}" name="PivotTable1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4:D17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8">
        <item x="4"/>
        <item x="0"/>
        <item x="5"/>
        <item x="2"/>
        <item x="1"/>
        <item x="3"/>
        <item x="6"/>
        <item t="default"/>
      </items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axis="axisRow" compact="0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18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2">
    <format dxfId="227">
      <pivotArea type="all" dataOnly="0" outline="0" fieldPosition="0"/>
    </format>
    <format dxfId="226">
      <pivotArea outline="0" collapsedLevelsAreSubtotals="1" fieldPosition="0"/>
    </format>
    <format dxfId="225">
      <pivotArea field="16" type="button" dataOnly="0" labelOnly="1" outline="0"/>
    </format>
    <format dxfId="224">
      <pivotArea field="15" type="button" dataOnly="0" labelOnly="1" outline="0"/>
    </format>
    <format dxfId="223">
      <pivotArea dataOnly="0" labelOnly="1" grandRow="1" outline="0" fieldPosition="0"/>
    </format>
    <format dxfId="2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1">
      <pivotArea outline="0" fieldPosition="0">
        <references count="1">
          <reference field="4294967294" count="1" selected="0">
            <x v="1"/>
          </reference>
        </references>
      </pivotArea>
    </format>
    <format dxfId="220">
      <pivotArea type="all" dataOnly="0" outline="0" fieldPosition="0"/>
    </format>
    <format dxfId="219">
      <pivotArea outline="0" collapsedLevelsAreSubtotals="1" fieldPosition="0"/>
    </format>
    <format dxfId="218">
      <pivotArea field="8" type="button" dataOnly="0" labelOnly="1" outline="0"/>
    </format>
    <format dxfId="217">
      <pivotArea dataOnly="0" labelOnly="1" grandRow="1" outline="0" fieldPosition="0"/>
    </format>
    <format dxfId="2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33EB81-E3A6-4658-8889-85460E473BE6}" name="PivotTable16" cacheId="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B64:D69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x="5"/>
        <item x="2"/>
        <item x="3"/>
        <item x="6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h="1" m="1" x="6"/>
        <item h="1" x="0"/>
        <item h="1" m="1" x="7"/>
        <item h="1" m="1" x="8"/>
        <item h="1" x="4"/>
        <item h="1" x="1"/>
        <item h="1" x="2"/>
        <item h="1"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8"/>
  </rowFields>
  <rowItems count="5">
    <i>
      <x v="3"/>
    </i>
    <i>
      <x v="6"/>
    </i>
    <i>
      <x v="4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5">
    <format dxfId="252">
      <pivotArea type="all" dataOnly="0" outline="0" fieldPosition="0"/>
    </format>
    <format dxfId="251">
      <pivotArea outline="0" collapsedLevelsAreSubtotals="1" fieldPosition="0"/>
    </format>
    <format dxfId="250">
      <pivotArea field="16" type="button" dataOnly="0" labelOnly="1" outline="0"/>
    </format>
    <format dxfId="249">
      <pivotArea field="15" type="button" dataOnly="0" labelOnly="1" outline="0"/>
    </format>
    <format dxfId="248">
      <pivotArea dataOnly="0" labelOnly="1" grandRow="1" outline="0" fieldPosition="0"/>
    </format>
    <format dxfId="2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6">
      <pivotArea outline="0" fieldPosition="0">
        <references count="1">
          <reference field="4294967294" count="1" selected="0">
            <x v="1"/>
          </reference>
        </references>
      </pivotArea>
    </format>
    <format dxfId="245">
      <pivotArea type="all" dataOnly="0" outline="0" fieldPosition="0"/>
    </format>
    <format dxfId="244">
      <pivotArea field="8" type="button" dataOnly="0" labelOnly="1" outline="0" axis="axisRow" fieldPosition="0"/>
    </format>
    <format dxfId="243">
      <pivotArea dataOnly="0" labelOnly="1" outline="0" fieldPosition="0">
        <references count="1">
          <reference field="8" count="4">
            <x v="0"/>
            <x v="3"/>
            <x v="4"/>
            <x v="6"/>
          </reference>
        </references>
      </pivotArea>
    </format>
    <format dxfId="242">
      <pivotArea dataOnly="0" labelOnly="1" grandRow="1" outline="0" fieldPosition="0"/>
    </format>
    <format dxfId="2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0">
      <pivotArea dataOnly="0" labelOnly="1" grandRow="1" outline="0" fieldPosition="0"/>
    </format>
    <format dxfId="239">
      <pivotArea field="8" type="button" dataOnly="0" labelOnly="1" outline="0" axis="axisRow" fieldPosition="0"/>
    </format>
    <format dxfId="2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7">
      <pivotArea type="all" dataOnly="0" outline="0" fieldPosition="0"/>
    </format>
    <format dxfId="236">
      <pivotArea outline="0" collapsedLevelsAreSubtotals="1" fieldPosition="0"/>
    </format>
    <format dxfId="235">
      <pivotArea field="8" type="button" dataOnly="0" labelOnly="1" outline="0" axis="axisRow" fieldPosition="0"/>
    </format>
    <format dxfId="234">
      <pivotArea dataOnly="0" labelOnly="1" outline="0" fieldPosition="0">
        <references count="1">
          <reference field="8" count="3">
            <x v="0"/>
            <x v="3"/>
            <x v="6"/>
          </reference>
        </references>
      </pivotArea>
    </format>
    <format dxfId="233">
      <pivotArea dataOnly="0" labelOnly="1" grandRow="1" outline="0" fieldPosition="0"/>
    </format>
    <format dxfId="2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1">
      <pivotArea grandRow="1" outline="0" collapsedLevelsAreSubtotals="1" fieldPosition="0"/>
    </format>
    <format dxfId="230">
      <pivotArea dataOnly="0" labelOnly="1" grandRow="1" outline="0" fieldPosition="0"/>
    </format>
    <format dxfId="229">
      <pivotArea field="8" type="button" dataOnly="0" labelOnly="1" outline="0" axis="axisRow" fieldPosition="0"/>
    </format>
    <format dxfId="2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06606B-9145-4CC6-B7E6-EA72F03690E7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7:D11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16"/>
  </rowFields>
  <rowItems count="4">
    <i>
      <x v="16"/>
    </i>
    <i>
      <x v="15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4">
    <format dxfId="266">
      <pivotArea type="all" dataOnly="0" outline="0" fieldPosition="0"/>
    </format>
    <format dxfId="265">
      <pivotArea outline="0" collapsedLevelsAreSubtotals="1" fieldPosition="0"/>
    </format>
    <format dxfId="264">
      <pivotArea field="16" type="button" dataOnly="0" labelOnly="1" outline="0" axis="axisRow" fieldPosition="0"/>
    </format>
    <format dxfId="263">
      <pivotArea field="15" type="button" dataOnly="0" labelOnly="1" outline="0"/>
    </format>
    <format dxfId="262">
      <pivotArea dataOnly="0" labelOnly="1" outline="0" fieldPosition="0">
        <references count="1">
          <reference field="16" count="0"/>
        </references>
      </pivotArea>
    </format>
    <format dxfId="261">
      <pivotArea dataOnly="0" labelOnly="1" grandRow="1" outline="0" fieldPosition="0"/>
    </format>
    <format dxfId="2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9">
      <pivotArea outline="0" fieldPosition="0">
        <references count="1">
          <reference field="4294967294" count="1" selected="0">
            <x v="1"/>
          </reference>
        </references>
      </pivotArea>
    </format>
    <format dxfId="258">
      <pivotArea type="all" dataOnly="0" outline="0" fieldPosition="0"/>
    </format>
    <format dxfId="257">
      <pivotArea outline="0" collapsedLevelsAreSubtotals="1" fieldPosition="0"/>
    </format>
    <format dxfId="256">
      <pivotArea field="16" type="button" dataOnly="0" labelOnly="1" outline="0" axis="axisRow" fieldPosition="0"/>
    </format>
    <format dxfId="255">
      <pivotArea dataOnly="0" labelOnly="1" outline="0" fieldPosition="0">
        <references count="1">
          <reference field="16" count="2">
            <x v="15"/>
            <x v="16"/>
          </reference>
        </references>
      </pivotArea>
    </format>
    <format dxfId="254">
      <pivotArea dataOnly="0" labelOnly="1" grandRow="1" outline="0" fieldPosition="0"/>
    </format>
    <format dxfId="2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A8AB9-5730-4819-84F4-AA4AFA265990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94:D202" firstHeaderRow="1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h="1" m="1" x="10"/>
        <item m="1" x="9"/>
        <item h="1" m="1" x="11"/>
        <item h="1" x="5"/>
        <item m="1" x="16"/>
        <item h="1" m="1" x="17"/>
        <item h="1" m="1" x="12"/>
        <item h="1" m="1" x="13"/>
        <item h="1" m="1" x="14"/>
        <item h="1" m="1" x="15"/>
        <item h="1" m="1" x="6"/>
        <item h="1" x="0"/>
        <item h="1" m="1" x="7"/>
        <item h="1" m="1" x="8"/>
        <item h="1" x="4"/>
        <item x="1"/>
        <item h="1"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8">
        <item x="0"/>
        <item x="1"/>
        <item x="2"/>
        <item x="3"/>
        <item x="6"/>
        <item x="4"/>
        <item x="5"/>
        <item t="default"/>
      </items>
    </pivotField>
    <pivotField compact="0" showAll="0"/>
  </pivotFields>
  <rowFields count="2">
    <field x="16"/>
    <field x="23"/>
  </rowFields>
  <rowItems count="8">
    <i>
      <x v="15"/>
    </i>
    <i r="1">
      <x/>
    </i>
    <i r="1">
      <x v="1"/>
    </i>
    <i r="1">
      <x v="2"/>
    </i>
    <i r="1">
      <x v="3"/>
    </i>
    <i r="1">
      <x v="5"/>
    </i>
    <i r="1">
      <x v="6"/>
    </i>
    <i t="grand">
      <x/>
    </i>
  </rowItems>
  <colItems count="1">
    <i/>
  </colItems>
  <dataFields count="1">
    <dataField name=" Doanh số trước VAT" fld="9" baseField="0" baseItem="0" numFmtId="166"/>
  </dataFields>
  <formats count="14">
    <format dxfId="280">
      <pivotArea type="all" dataOnly="0" outline="0" fieldPosition="0"/>
    </format>
    <format dxfId="279">
      <pivotArea outline="0" collapsedLevelsAreSubtotals="1" fieldPosition="0"/>
    </format>
    <format dxfId="278">
      <pivotArea field="16" type="button" dataOnly="0" labelOnly="1" outline="0" axis="axisRow" fieldPosition="0"/>
    </format>
    <format dxfId="277">
      <pivotArea field="15" type="button" dataOnly="0" labelOnly="1" outline="0"/>
    </format>
    <format dxfId="276">
      <pivotArea dataOnly="0" labelOnly="1" outline="0" fieldPosition="0">
        <references count="1">
          <reference field="16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73">
      <pivotArea outline="0" fieldPosition="0">
        <references count="1">
          <reference field="4294967294" count="1" selected="0">
            <x v="0"/>
          </reference>
        </references>
      </pivotArea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16" type="button" dataOnly="0" labelOnly="1" outline="0" axis="axisRow" fieldPosition="0"/>
    </format>
    <format dxfId="269">
      <pivotArea dataOnly="0" labelOnly="1" outline="0" fieldPosition="0">
        <references count="1">
          <reference field="16" count="0"/>
        </references>
      </pivotArea>
    </format>
    <format dxfId="268">
      <pivotArea dataOnly="0" labelOnly="1" grandRow="1" outline="0" fieldPosition="0"/>
    </format>
    <format dxfId="267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642A45-E3A6-420E-A46C-456740855D70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47:D52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6"/>
  </rowFields>
  <rowItems count="5">
    <i>
      <x v="11"/>
    </i>
    <i>
      <x v="15"/>
    </i>
    <i>
      <x v="17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0">
    <format dxfId="300">
      <pivotArea type="all" dataOnly="0" outline="0" fieldPosition="0"/>
    </format>
    <format dxfId="299">
      <pivotArea outline="0" collapsedLevelsAreSubtotals="1" fieldPosition="0"/>
    </format>
    <format dxfId="298">
      <pivotArea field="16" type="button" dataOnly="0" labelOnly="1" outline="0" axis="axisRow" fieldPosition="0"/>
    </format>
    <format dxfId="297">
      <pivotArea field="15" type="button" dataOnly="0" labelOnly="1" outline="0"/>
    </format>
    <format dxfId="296">
      <pivotArea dataOnly="0" labelOnly="1" grandRow="1" outline="0" fieldPosition="0"/>
    </format>
    <format dxfId="2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4">
      <pivotArea outline="0" fieldPosition="0">
        <references count="1">
          <reference field="4294967294" count="1" selected="0">
            <x v="1"/>
          </reference>
        </references>
      </pivotArea>
    </format>
    <format dxfId="293">
      <pivotArea type="all" dataOnly="0" outline="0" fieldPosition="0"/>
    </format>
    <format dxfId="292">
      <pivotArea field="16" type="button" dataOnly="0" labelOnly="1" outline="0" axis="axisRow" fieldPosition="0"/>
    </format>
    <format dxfId="29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0">
      <pivotArea field="16" type="button" dataOnly="0" labelOnly="1" outline="0" axis="axisRow" fieldPosition="0"/>
    </format>
    <format dxfId="2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8">
      <pivotArea outline="0" fieldPosition="0">
        <references count="1">
          <reference field="4294967294" count="1" selected="0">
            <x v="1"/>
          </reference>
        </references>
      </pivotArea>
    </format>
    <format dxfId="2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6">
      <pivotArea type="all" dataOnly="0" outline="0" fieldPosition="0"/>
    </format>
    <format dxfId="285">
      <pivotArea outline="0" collapsedLevelsAreSubtotals="1" fieldPosition="0"/>
    </format>
    <format dxfId="284">
      <pivotArea field="16" type="button" dataOnly="0" labelOnly="1" outline="0" axis="axisRow" fieldPosition="0"/>
    </format>
    <format dxfId="283">
      <pivotArea dataOnly="0" labelOnly="1" outline="0" fieldPosition="0">
        <references count="1">
          <reference field="16" count="0"/>
        </references>
      </pivotArea>
    </format>
    <format dxfId="282">
      <pivotArea dataOnly="0" labelOnly="1" grandRow="1" outline="0" fieldPosition="0"/>
    </format>
    <format dxfId="28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F094E0-7748-4019-B592-C4F1C562C3FD}" name="PivotTable1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55:D58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 sortType="descending">
      <items count="8">
        <item x="4"/>
        <item x="0"/>
        <item x="5"/>
        <item x="2"/>
        <item x="3"/>
        <item x="6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h="1" m="1" x="6"/>
        <item h="1" x="0"/>
        <item h="1" m="1" x="7"/>
        <item h="1" m="1" x="8"/>
        <item h="1" x="4"/>
        <item h="1" x="1"/>
        <item h="1" x="2"/>
        <item h="1" x="3"/>
        <item t="default"/>
      </items>
    </pivotField>
    <pivotField compact="0" showAll="0"/>
    <pivotField axis="axisRow" compact="0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8"/>
  </rowFields>
  <rowItems count="3">
    <i>
      <x v="1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2"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16" type="button" dataOnly="0" labelOnly="1" outline="0"/>
    </format>
    <format dxfId="319">
      <pivotArea field="15" type="button" dataOnly="0" labelOnly="1" outline="0"/>
    </format>
    <format dxfId="318">
      <pivotArea dataOnly="0" labelOnly="1" grandRow="1" outline="0" fieldPosition="0"/>
    </format>
    <format dxfId="3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6">
      <pivotArea outline="0" fieldPosition="0">
        <references count="1">
          <reference field="4294967294" count="1" selected="0">
            <x v="1"/>
          </reference>
        </references>
      </pivotArea>
    </format>
    <format dxfId="315">
      <pivotArea type="all" dataOnly="0" outline="0" fieldPosition="0"/>
    </format>
    <format dxfId="314">
      <pivotArea field="8" type="button" dataOnly="0" labelOnly="1" outline="0"/>
    </format>
    <format dxfId="313">
      <pivotArea dataOnly="0" labelOnly="1" grandRow="1" outline="0" fieldPosition="0"/>
    </format>
    <format dxfId="312">
      <pivotArea field="18" grandRow="1" outline="0" axis="axisRow" fieldPosition="0">
        <references count="1">
          <reference field="4294967294" count="1" selected="0">
            <x v="0"/>
          </reference>
        </references>
      </pivotArea>
    </format>
    <format dxfId="311">
      <pivotArea dataOnly="0" labelOnly="1" grandRow="1" outline="0" fieldPosition="0"/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field="18" type="button" dataOnly="0" labelOnly="1" outline="0" axis="axisRow" fieldPosition="0"/>
    </format>
    <format dxfId="307">
      <pivotArea dataOnly="0" labelOnly="1" outline="0" fieldPosition="0">
        <references count="1">
          <reference field="18" count="2">
            <x v="0"/>
            <x v="1"/>
          </reference>
        </references>
      </pivotArea>
    </format>
    <format dxfId="306">
      <pivotArea dataOnly="0" labelOnly="1" grandRow="1" outline="0" fieldPosition="0"/>
    </format>
    <format dxfId="3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4">
      <pivotArea fieldPosition="0">
        <references count="1">
          <reference field="18" count="1">
            <x v="1"/>
          </reference>
        </references>
      </pivotArea>
    </format>
    <format dxfId="303">
      <pivotArea dataOnly="0" labelOnly="1" outline="0" fieldPosition="0">
        <references count="1">
          <reference field="18" count="1">
            <x v="1"/>
          </reference>
        </references>
      </pivotArea>
    </format>
    <format dxfId="302">
      <pivotArea grandRow="1" outline="0" collapsedLevelsAreSubtotals="1" fieldPosition="0"/>
    </format>
    <format dxfId="30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F0C3EE-0EF5-424D-A3FE-4914269B2A68}" name="PivotTable20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G89:H94" firstHeaderRow="1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outline="0" showAll="0"/>
    <pivotField dataField="1"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2"/>
        <item x="4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6"/>
  </rowFields>
  <rowItems count="5">
    <i>
      <x v="11"/>
    </i>
    <i>
      <x v="16"/>
    </i>
    <i>
      <x v="17"/>
    </i>
    <i>
      <x v="15"/>
    </i>
    <i t="grand">
      <x/>
    </i>
  </rowItems>
  <colItems count="1">
    <i/>
  </colItems>
  <dataFields count="1">
    <dataField name=" Gross Profit_x000a_(Tạm tính)" fld="14" baseField="0" baseItem="0" numFmtId="166"/>
  </dataFields>
  <formats count="29">
    <format dxfId="351">
      <pivotArea type="all" dataOnly="0" outline="0" fieldPosition="0"/>
    </format>
    <format dxfId="350">
      <pivotArea outline="0" collapsedLevelsAreSubtotals="1" fieldPosition="0"/>
    </format>
    <format dxfId="349">
      <pivotArea field="16" type="button" dataOnly="0" labelOnly="1" outline="0" axis="axisRow" fieldPosition="0"/>
    </format>
    <format dxfId="348">
      <pivotArea field="15" type="button" dataOnly="0" labelOnly="1" outline="0"/>
    </format>
    <format dxfId="347">
      <pivotArea dataOnly="0" labelOnly="1" grandRow="1" outline="0" fieldPosition="0"/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16" type="button" dataOnly="0" labelOnly="1" outline="0" axis="axisRow" fieldPosition="0"/>
    </format>
    <format dxfId="343">
      <pivotArea outline="0" collapsedLevelsAreSubtotals="1" fieldPosition="0"/>
    </format>
    <format dxfId="342">
      <pivotArea field="16" type="button" dataOnly="0" labelOnly="1" outline="0" axis="axisRow" fieldPosition="0"/>
    </format>
    <format dxfId="341">
      <pivotArea dataOnly="0" labelOnly="1" outline="0" axis="axisValues" fieldPosition="0"/>
    </format>
    <format dxfId="340">
      <pivotArea field="16" type="button" dataOnly="0" labelOnly="1" outline="0" axis="axisRow" fieldPosition="0"/>
    </format>
    <format dxfId="339">
      <pivotArea dataOnly="0" labelOnly="1" outline="0" axis="axisValues" fieldPosition="0"/>
    </format>
    <format dxfId="338">
      <pivotArea type="all" dataOnly="0" outline="0" fieldPosition="0"/>
    </format>
    <format dxfId="337">
      <pivotArea outline="0" collapsedLevelsAreSubtotals="1" fieldPosition="0"/>
    </format>
    <format dxfId="336">
      <pivotArea field="16" type="button" dataOnly="0" labelOnly="1" outline="0" axis="axisRow" fieldPosition="0"/>
    </format>
    <format dxfId="335">
      <pivotArea dataOnly="0" labelOnly="1" outline="0" fieldPosition="0">
        <references count="1">
          <reference field="16" count="0"/>
        </references>
      </pivotArea>
    </format>
    <format dxfId="334">
      <pivotArea dataOnly="0" labelOnly="1" grandRow="1" outline="0" fieldPosition="0"/>
    </format>
    <format dxfId="333">
      <pivotArea dataOnly="0" labelOnly="1" outline="0" axis="axisValues" fieldPosition="0"/>
    </format>
    <format dxfId="332">
      <pivotArea dataOnly="0" labelOnly="1" outline="0" axis="axisValues" fieldPosition="0"/>
    </format>
    <format dxfId="331">
      <pivotArea field="16" type="button" dataOnly="0" labelOnly="1" outline="0" axis="axisRow" fieldPosition="0"/>
    </format>
    <format dxfId="330">
      <pivotArea dataOnly="0" labelOnly="1" outline="0" axis="axisValues" fieldPosition="0"/>
    </format>
    <format dxfId="329">
      <pivotArea grandRow="1" outline="0" collapsedLevelsAreSubtotals="1" fieldPosition="0"/>
    </format>
    <format dxfId="328">
      <pivotArea type="all" dataOnly="0" outline="0" fieldPosition="0"/>
    </format>
    <format dxfId="327">
      <pivotArea outline="0" collapsedLevelsAreSubtotals="1" fieldPosition="0"/>
    </format>
    <format dxfId="326">
      <pivotArea field="16" type="button" dataOnly="0" labelOnly="1" outline="0" axis="axisRow" fieldPosition="0"/>
    </format>
    <format dxfId="325">
      <pivotArea dataOnly="0" labelOnly="1" outline="0" fieldPosition="0">
        <references count="1">
          <reference field="16" count="5">
            <x v="11"/>
            <x v="14"/>
            <x v="15"/>
            <x v="16"/>
            <x v="17"/>
          </reference>
        </references>
      </pivotArea>
    </format>
    <format dxfId="324">
      <pivotArea dataOnly="0" labelOnly="1" grandRow="1" outline="0" fieldPosition="0"/>
    </format>
    <format dxfId="32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D0146B-82F8-4458-A49C-91DD4420B4B9}" name="PivotTable1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0:D24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x="5"/>
        <item x="2"/>
        <item x="1"/>
        <item x="3"/>
        <item x="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8"/>
  </rowFields>
  <rowItems count="4">
    <i>
      <x v="3"/>
    </i>
    <i>
      <x v="5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5">
    <format dxfId="366">
      <pivotArea type="all" dataOnly="0" outline="0" fieldPosition="0"/>
    </format>
    <format dxfId="365">
      <pivotArea outline="0" collapsedLevelsAreSubtotals="1" fieldPosition="0"/>
    </format>
    <format dxfId="364">
      <pivotArea field="16" type="button" dataOnly="0" labelOnly="1" outline="0"/>
    </format>
    <format dxfId="363">
      <pivotArea field="15" type="button" dataOnly="0" labelOnly="1" outline="0"/>
    </format>
    <format dxfId="362">
      <pivotArea dataOnly="0" labelOnly="1" grandRow="1" outline="0" fieldPosition="0"/>
    </format>
    <format dxfId="3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0">
      <pivotArea outline="0" fieldPosition="0">
        <references count="1">
          <reference field="4294967294" count="1" selected="0">
            <x v="1"/>
          </reference>
        </references>
      </pivotArea>
    </format>
    <format dxfId="359">
      <pivotArea type="all" dataOnly="0" outline="0" fieldPosition="0"/>
    </format>
    <format dxfId="358">
      <pivotArea outline="0" collapsedLevelsAreSubtotals="1" fieldPosition="0"/>
    </format>
    <format dxfId="357">
      <pivotArea field="8" type="button" dataOnly="0" labelOnly="1" outline="0" axis="axisRow" fieldPosition="0"/>
    </format>
    <format dxfId="356">
      <pivotArea dataOnly="0" labelOnly="1" outline="0" fieldPosition="0">
        <references count="1">
          <reference field="8" count="2">
            <x v="3"/>
            <x v="4"/>
          </reference>
        </references>
      </pivotArea>
    </format>
    <format dxfId="355">
      <pivotArea dataOnly="0" labelOnly="1" grandRow="1" outline="0" fieldPosition="0"/>
    </format>
    <format dxfId="3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3">
      <pivotArea grandRow="1" outline="0" collapsedLevelsAreSubtotals="1" fieldPosition="0"/>
    </format>
    <format dxfId="35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EEB5A5-E624-4C49-B3B7-524BF823CC94}" name="PivotTable19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47:C249" firstHeaderRow="1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8">
        <item x="4"/>
        <item x="0"/>
        <item x="5"/>
        <item x="2"/>
        <item x="1"/>
        <item x="3"/>
        <item h="1" x="6"/>
        <item t="default"/>
      </items>
    </pivotField>
    <pivotField compact="0" showAll="0"/>
    <pivotField compact="0" showAll="0"/>
    <pivotField compact="0" outline="0" showAll="0"/>
    <pivotField compact="0" outline="0" showAll="0"/>
    <pivotField compact="0" outline="0" showAll="0"/>
    <pivotField dataField="1"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>
      <items count="19">
        <item h="1" m="1" x="10"/>
        <item h="1" m="1" x="9"/>
        <item h="1" m="1" x="11"/>
        <item h="1" x="5"/>
        <item h="1" m="1" x="16"/>
        <item h="1" m="1" x="17"/>
        <item h="1" m="1" x="12"/>
        <item h="1" m="1" x="13"/>
        <item h="1" m="1" x="14"/>
        <item h="1" m="1" x="15"/>
        <item h="1" m="1" x="6"/>
        <item h="1" x="0"/>
        <item h="1" m="1" x="7"/>
        <item h="1" m="1" x="8"/>
        <item h="1" x="4"/>
        <item x="1"/>
        <item h="1" x="2"/>
        <item h="1" x="3"/>
        <item t="default"/>
      </items>
    </pivotField>
    <pivotField compact="0" showAll="0">
      <items count="10">
        <item x="2"/>
        <item x="3"/>
        <item x="1"/>
        <item x="4"/>
        <item x="0"/>
        <item m="1" x="8"/>
        <item x="6"/>
        <item m="1" x="7"/>
        <item x="5"/>
        <item t="default"/>
      </items>
    </pivotField>
    <pivotField compact="0" showAll="0"/>
    <pivotField compact="0" showAll="0"/>
    <pivotField compact="0" showAll="0">
      <items count="16">
        <item m="1" x="9"/>
        <item x="2"/>
        <item m="1" x="13"/>
        <item h="1" x="4"/>
        <item x="7"/>
        <item m="1" x="14"/>
        <item x="1"/>
        <item h="1" x="5"/>
        <item h="1" x="0"/>
        <item x="3"/>
        <item x="8"/>
        <item h="1" m="1" x="10"/>
        <item h="1" m="1" x="11"/>
        <item h="1" m="1" x="12"/>
        <item h="1" x="6"/>
        <item t="default"/>
      </items>
    </pivotField>
    <pivotField compact="0" showAll="0"/>
    <pivotField compact="0" showAll="0"/>
    <pivotField compact="0" showAll="0">
      <items count="8">
        <item x="0"/>
        <item x="1"/>
        <item x="2"/>
        <item x="3"/>
        <item h="1" x="4"/>
        <item h="1" x="5"/>
        <item h="1" x="6"/>
        <item t="default"/>
      </items>
    </pivotField>
    <pivotField compact="0" showAll="0"/>
  </pivotFields>
  <rowFields count="1">
    <field x="16"/>
  </rowFields>
  <rowItems count="2">
    <i>
      <x v="15"/>
    </i>
    <i t="grand">
      <x/>
    </i>
  </rowItems>
  <colItems count="1">
    <i/>
  </colItems>
  <dataFields count="1">
    <dataField name=" Gross Profit_x000a_(Lợi nhuận gộp)" fld="14" baseField="0" baseItem="0" numFmtId="166"/>
  </dataFields>
  <formats count="15"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16" type="button" dataOnly="0" labelOnly="1" outline="0" axis="axisRow" fieldPosition="0"/>
    </format>
    <format dxfId="378">
      <pivotArea field="15" type="button" dataOnly="0" labelOnly="1" outline="0"/>
    </format>
    <format dxfId="377">
      <pivotArea dataOnly="0" labelOnly="1" grandRow="1" outline="0" fieldPosition="0"/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field="8" type="button" dataOnly="0" labelOnly="1" outline="0"/>
    </format>
    <format dxfId="373">
      <pivotArea dataOnly="0" labelOnly="1" grandRow="1" outline="0" fieldPosition="0"/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17" type="button" dataOnly="0" labelOnly="1" outline="0"/>
    </format>
    <format dxfId="369">
      <pivotArea field="20" type="button" dataOnly="0" labelOnly="1" outline="0"/>
    </format>
    <format dxfId="368">
      <pivotArea dataOnly="0" labelOnly="1" grandRow="1" outline="0" fieldPosition="0"/>
    </format>
    <format dxfId="36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Tháng_tạo" xr10:uid="{2389E67F-E37E-4969-AC82-8765B2CEBE95}" sourceName="Tháng tạo">
  <pivotTables>
    <pivotTable tabId="5" name="PivotTable1"/>
    <pivotTable tabId="5" name="PivotTable11"/>
    <pivotTable tabId="5" name="PivotTable12"/>
    <pivotTable tabId="5" name="PivotTable14"/>
  </pivotTables>
  <data>
    <tabular pivotCacheId="1045609122">
      <items count="7">
        <i x="0"/>
        <i x="2"/>
        <i x="3"/>
        <i x="4" s="1"/>
        <i x="5"/>
        <i x="1" nd="1"/>
        <i x="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Tháng_tạo1" xr10:uid="{0FC33CE6-1850-4D70-A91B-3E242A2BB176}" sourceName="Tháng tạo">
  <pivotTables>
    <pivotTable tabId="5" name="PivotTable2"/>
    <pivotTable tabId="5" name="PivotTable15"/>
    <pivotTable tabId="5" name="PivotTable16"/>
    <pivotTable tabId="5" name="PivotTable17"/>
    <pivotTable tabId="5" name="PivotTable4"/>
    <pivotTable tabId="5" name="PivotTable20"/>
  </pivotTables>
  <data>
    <tabular pivotCacheId="1045609122">
      <items count="7">
        <i x="0"/>
        <i x="1"/>
        <i x="2"/>
        <i x="3"/>
        <i x="4"/>
        <i x="5" s="1"/>
        <i x="6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Ngày_tạo" xr10:uid="{5ACE38A7-C5A2-4C6A-9670-6F43E8E1031A}" sourceName="Ngày tạo">
  <pivotTables>
    <pivotTable tabId="5" name="PivotTable1"/>
    <pivotTable tabId="5" name="PivotTable11"/>
    <pivotTable tabId="5" name="PivotTable12"/>
    <pivotTable tabId="5" name="PivotTable14"/>
  </pivotTables>
  <data>
    <tabular pivotCacheId="1045609122">
      <items count="31">
        <i x="0"/>
        <i x="13"/>
        <i x="15"/>
        <i x="16"/>
        <i x="27"/>
        <i x="28"/>
        <i x="3"/>
        <i x="5" s="1"/>
        <i x="22" s="1"/>
        <i x="7" s="1"/>
        <i x="18"/>
        <i x="9"/>
        <i x="23"/>
        <i x="11"/>
        <i x="12" nd="1"/>
        <i x="24" nd="1"/>
        <i x="25" nd="1"/>
        <i x="14" nd="1"/>
        <i x="1" nd="1"/>
        <i x="20" nd="1"/>
        <i x="2" nd="1"/>
        <i x="29" nd="1"/>
        <i x="26" nd="1"/>
        <i x="21" nd="1"/>
        <i x="4" nd="1"/>
        <i x="6" nd="1"/>
        <i x="17" nd="1"/>
        <i x="8" nd="1"/>
        <i x="19" nd="1"/>
        <i x="10" nd="1"/>
        <i x="30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Tháng_tạo2" xr10:uid="{4402AB16-FE3E-40D3-AC65-A6AFCDD7B40D}" sourceName="Tháng tạo">
  <pivotTables>
    <pivotTable tabId="5" name="PivotTable9"/>
    <pivotTable tabId="5" name="PivotTable10"/>
    <pivotTable tabId="5" name="PivotTable19"/>
  </pivotTables>
  <data>
    <tabular pivotCacheId="1045609122">
      <items count="7">
        <i x="0" s="1"/>
        <i x="1" s="1"/>
        <i x="2" s="1"/>
        <i x="3" s="1"/>
        <i x="4"/>
        <i x="5"/>
        <i x="6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háng tạo" xr10:uid="{70EE961C-345B-45E5-AEA7-8F02B05EC03C}" cache="Slicer_Tháng_tạo" caption="Tháng tạo" rowHeight="228600"/>
  <slicer name="Tháng tạo 1" xr10:uid="{2DA76ADE-D1BC-4E7F-8151-75925CA316EA}" cache="Slicer_Tháng_tạo1" caption="Tháng tạo" rowHeight="228600"/>
  <slicer name="Ngày tạo" xr10:uid="{A7EA48FE-E7C5-433B-BA33-A8B373D3BA2E}" cache="Slicer_Ngày_tạo" caption="Ngày tạo" rowHeight="228600"/>
  <slicer name="Tháng tạo 2" xr10:uid="{0931EEED-35E8-4D78-940B-CD021AC67782}" cache="Slicer_Tháng_tạo2" caption="Tháng tạo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DFF5D0-019A-41C9-89D4-2289DBEB89AD}" name="Table2" displayName="Table2" ref="A1:R33" totalsRowShown="0" headerRowDxfId="396" headerRowBorderDxfId="395" tableBorderDxfId="394">
  <autoFilter ref="A1:R33" xr:uid="{F5DFF5D0-019A-41C9-89D4-2289DBEB89AD}"/>
  <tableColumns count="18">
    <tableColumn id="1" xr3:uid="{FFB5B30F-7124-4756-A449-0AE60C90A9D4}" name="STT" dataDxfId="393"/>
    <tableColumn id="2" xr3:uid="{8F7EB037-2DFB-4771-B31C-AAB28032D2A1}" name="BU" dataDxfId="392"/>
    <tableColumn id="3" xr3:uid="{8A4B13B4-3A12-4F8A-A591-4B5D0462364D}" name="Nhân sự" dataDxfId="391"/>
    <tableColumn id="10" xr3:uid="{5243F109-DE8D-499A-AAB2-2ED6098B2537}" name="Trạng thái" dataDxfId="390"/>
    <tableColumn id="11" xr3:uid="{D687DE40-A796-45F8-B745-7A134053719B}" name="Thời gian bắt đầu làm" dataDxfId="389"/>
    <tableColumn id="12" xr3:uid="{3F8C329D-95FF-4CFB-8AC8-E8810F9E3D43}" name="Thời gian bắt đầu nghỉ" dataDxfId="388"/>
    <tableColumn id="4" xr3:uid="{E9873CBC-05E4-4D71-8167-8671B2797A17}" name=" Tháng 1 " dataDxfId="387"/>
    <tableColumn id="5" xr3:uid="{A14471BF-2F3B-4BE5-947B-C8E7490DC57B}" name=" Tháng 2 " dataDxfId="386"/>
    <tableColumn id="6" xr3:uid="{C78947F9-F255-4A00-9D17-AD8DCB70A8DB}" name=" Tháng 3 " dataDxfId="385"/>
    <tableColumn id="7" xr3:uid="{416F112C-C408-47E4-97F7-EF522C0DFBDC}" name=" Tháng 4 " dataDxfId="384"/>
    <tableColumn id="8" xr3:uid="{E41C3B26-55E0-48D1-AD86-D7CF0E93B8CB}" name=" Tháng 5 " dataDxfId="383"/>
    <tableColumn id="9" xr3:uid="{AF430985-22AA-4F3F-9F81-F47CBE4ADEAF}" name=" Tháng 6 " dataDxfId="382"/>
    <tableColumn id="13" xr3:uid="{C4348CC4-3D5C-4D09-BFFF-47FE972DA2E1}" name=" Tháng 7"/>
    <tableColumn id="14" xr3:uid="{BE561A65-4B06-434D-B1FB-896E48D389EF}" name=" Tháng 8"/>
    <tableColumn id="15" xr3:uid="{FEE86645-48E0-4A4F-B113-B429378A1F56}" name=" Tháng 9"/>
    <tableColumn id="16" xr3:uid="{AAE62F56-8AC9-4CA3-8C91-A8B53A50C8AC}" name=" Tháng 10"/>
    <tableColumn id="17" xr3:uid="{13ACAC16-3800-41C3-8359-DE835A3E5E57}" name=" Tháng 11"/>
    <tableColumn id="18" xr3:uid="{BD2B2392-8FFD-4F6F-A618-5D8811B78336}" name=" Tháng 1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99CC23-6D22-47AD-99FD-9E6A9A6CDE75}" name="Table1" displayName="Table1" ref="A1:G97" totalsRowShown="0" headerRowDxfId="12" dataDxfId="10" headerRowBorderDxfId="11" tableBorderDxfId="9" totalsRowBorderDxfId="8">
  <autoFilter ref="A1:G97" xr:uid="{E499CC23-6D22-47AD-99FD-9E6A9A6CDE75}"/>
  <tableColumns count="7">
    <tableColumn id="1" xr3:uid="{E8122324-22A9-4ECF-A729-A4510C417409}" name="Tháng" dataDxfId="7"/>
    <tableColumn id="2" xr3:uid="{2790CB6D-FA47-45CA-B9B2-E07051145B95}" name="Nhân sự" dataDxfId="6"/>
    <tableColumn id="5" xr3:uid="{955C469C-B25C-4F59-B129-0E3D88384123}" name="BU" dataDxfId="5">
      <calculatedColumnFormula>VLOOKUP(Table1[[#This Row],[Nhân sự]],'DROPDOWNDATA-NOFILL'!$A$1:$B$40,2,FALSE)</calculatedColumnFormula>
    </tableColumn>
    <tableColumn id="3" xr3:uid="{024F6CCD-5E83-42B9-8E3E-6F039FF7E7E7}" name="KPI" dataDxfId="4"/>
    <tableColumn id="4" xr3:uid="{C0D20D6A-05DE-4639-ACDE-CE9D6F5F8EF0}" name="Doanh số" dataDxfId="3">
      <calculatedColumnFormula>SUMIFS('Data Doanh số'!$J:$J,'Data Doanh số'!$P:$P,Table1[[#This Row],[Nhân sự]],'Data Doanh số'!$X:$X,A2)</calculatedColumnFormula>
    </tableColumn>
    <tableColumn id="6" xr3:uid="{47FE57AA-E104-4B20-BAAF-DF440EE16622}" name="Số lượng đơn" dataDxfId="2">
      <calculatedColumnFormula>COUNTIFS('Data Doanh số'!$P:$P,Table1[[#This Row],[Nhân sự]],'Data Doanh số'!$X:$X,Table1[[#This Row],[Tháng]])</calculatedColumnFormula>
    </tableColumn>
    <tableColumn id="7" xr3:uid="{7518A23B-27D1-46C1-B1D3-CD762ABFF8FF}" name="% Hoàn thành KPI" dataDxfId="1">
      <calculatedColumnFormula>+Table1[[#This Row],[Doanh số]]/Table1[[#This Row],[KPI]]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68" dT="2025-09-27T09:36:57.19" personId="{4ACD2825-62F2-4031-8EA6-DC2A15E00F61}" id="{1242BDA8-653D-4D35-B4BE-8E1451360401}">
    <text>26/9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18" Type="http://schemas.openxmlformats.org/officeDocument/2006/relationships/pivotTable" Target="../pivotTables/pivotTable19.xml"/><Relationship Id="rId3" Type="http://schemas.openxmlformats.org/officeDocument/2006/relationships/pivotTable" Target="../pivotTables/pivotTable4.xml"/><Relationship Id="rId21" Type="http://schemas.openxmlformats.org/officeDocument/2006/relationships/pivotTable" Target="../pivotTables/pivotTable22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17" Type="http://schemas.openxmlformats.org/officeDocument/2006/relationships/pivotTable" Target="../pivotTables/pivotTable18.xml"/><Relationship Id="rId2" Type="http://schemas.openxmlformats.org/officeDocument/2006/relationships/pivotTable" Target="../pivotTables/pivotTable3.xml"/><Relationship Id="rId16" Type="http://schemas.openxmlformats.org/officeDocument/2006/relationships/pivotTable" Target="../pivotTables/pivotTable17.xml"/><Relationship Id="rId20" Type="http://schemas.openxmlformats.org/officeDocument/2006/relationships/pivotTable" Target="../pivotTables/pivotTable21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23" Type="http://schemas.microsoft.com/office/2007/relationships/slicer" Target="../slicers/slicer1.xml"/><Relationship Id="rId10" Type="http://schemas.openxmlformats.org/officeDocument/2006/relationships/pivotTable" Target="../pivotTables/pivotTable11.xml"/><Relationship Id="rId19" Type="http://schemas.openxmlformats.org/officeDocument/2006/relationships/pivotTable" Target="../pivotTables/pivotTable20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Relationship Id="rId22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D494"/>
  <sheetViews>
    <sheetView tabSelected="1" zoomScaleNormal="100" workbookViewId="0">
      <pane xSplit="1" ySplit="1" topLeftCell="B132" activePane="bottomRight" state="frozen"/>
      <selection pane="topRight"/>
      <selection pane="bottomLeft"/>
      <selection pane="bottomRight" activeCell="F155" sqref="F155"/>
    </sheetView>
  </sheetViews>
  <sheetFormatPr defaultColWidth="9.125" defaultRowHeight="15" outlineLevelCol="1" x14ac:dyDescent="0.2"/>
  <cols>
    <col min="1" max="1" width="9.125" style="9"/>
    <col min="2" max="2" width="17.125" style="9" customWidth="1"/>
    <col min="3" max="3" width="32.625" style="16" customWidth="1"/>
    <col min="4" max="4" width="20.875" style="74" customWidth="1"/>
    <col min="5" max="5" width="30.75" style="28" customWidth="1"/>
    <col min="6" max="6" width="19.375" style="28" customWidth="1"/>
    <col min="7" max="7" width="17.75" style="9" customWidth="1" outlineLevel="1"/>
    <col min="8" max="8" width="11.75" style="9" customWidth="1" outlineLevel="1"/>
    <col min="9" max="9" width="17.375" style="9" customWidth="1" outlineLevel="1"/>
    <col min="10" max="10" width="22" style="9" customWidth="1" outlineLevel="1"/>
    <col min="11" max="15" width="21.125" style="17" customWidth="1" outlineLevel="1"/>
    <col min="16" max="16" width="25.125" style="18" bestFit="1" customWidth="1" outlineLevel="1"/>
    <col min="17" max="17" width="23.125" style="9" customWidth="1" outlineLevel="1"/>
    <col min="18" max="18" width="20.375" style="9" customWidth="1" outlineLevel="1"/>
    <col min="19" max="19" width="16.75" style="9" customWidth="1" outlineLevel="1"/>
    <col min="20" max="20" width="19.25" style="9" customWidth="1" outlineLevel="1"/>
    <col min="21" max="21" width="16.75" style="9" customWidth="1" outlineLevel="1"/>
    <col min="22" max="22" width="20.875" style="74" customWidth="1"/>
    <col min="23" max="23" width="14.25" style="19" customWidth="1" outlineLevel="1"/>
    <col min="24" max="24" width="12.75" style="19" customWidth="1" outlineLevel="1"/>
    <col min="25" max="27" width="14.25" style="19" customWidth="1" outlineLevel="1"/>
    <col min="28" max="28" width="14.25" style="79" customWidth="1" outlineLevel="1"/>
    <col min="29" max="29" width="19" style="9" customWidth="1"/>
    <col min="30" max="30" width="9.375" style="9" bestFit="1" customWidth="1"/>
    <col min="31" max="16384" width="9.125" style="9"/>
  </cols>
  <sheetData>
    <row r="1" spans="1:29" s="15" customFormat="1" ht="30" customHeight="1" x14ac:dyDescent="0.2">
      <c r="A1" s="41" t="s">
        <v>0</v>
      </c>
      <c r="B1" s="42" t="s">
        <v>1</v>
      </c>
      <c r="C1" s="41" t="s">
        <v>2</v>
      </c>
      <c r="D1" s="46" t="s">
        <v>3</v>
      </c>
      <c r="E1" s="42" t="s">
        <v>4</v>
      </c>
      <c r="F1" s="42" t="s">
        <v>5</v>
      </c>
      <c r="G1" s="41" t="s">
        <v>6</v>
      </c>
      <c r="H1" s="41" t="s">
        <v>7</v>
      </c>
      <c r="I1" s="41" t="s">
        <v>8</v>
      </c>
      <c r="J1" s="44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260" t="s">
        <v>14</v>
      </c>
      <c r="P1" s="44" t="s">
        <v>15</v>
      </c>
      <c r="Q1" s="41" t="s">
        <v>16</v>
      </c>
      <c r="R1" s="42" t="s">
        <v>17</v>
      </c>
      <c r="S1" s="42" t="s">
        <v>18</v>
      </c>
      <c r="T1" s="42" t="s">
        <v>19</v>
      </c>
      <c r="U1" s="42" t="s">
        <v>20</v>
      </c>
      <c r="V1" s="46" t="s">
        <v>21</v>
      </c>
      <c r="W1" s="41" t="s">
        <v>22</v>
      </c>
      <c r="X1" s="41" t="s">
        <v>23</v>
      </c>
      <c r="Y1" s="41" t="s">
        <v>24</v>
      </c>
      <c r="Z1" s="86" t="s">
        <v>25</v>
      </c>
      <c r="AA1" s="86" t="s">
        <v>26</v>
      </c>
      <c r="AB1" s="86" t="s">
        <v>27</v>
      </c>
      <c r="AC1" s="15" t="s">
        <v>28</v>
      </c>
    </row>
    <row r="2" spans="1:29" ht="20.25" customHeight="1" x14ac:dyDescent="0.2">
      <c r="A2" s="7">
        <f t="shared" ref="A2:A27" si="0">ROW(C2)-1</f>
        <v>1</v>
      </c>
      <c r="B2" s="7" t="str">
        <f>LEFT(C2,12)</f>
        <v>51B2B2601002</v>
      </c>
      <c r="C2" s="10" t="s">
        <v>29</v>
      </c>
      <c r="D2" s="31">
        <v>46027</v>
      </c>
      <c r="E2" s="12" t="s">
        <v>30</v>
      </c>
      <c r="F2" s="12" t="s">
        <v>31</v>
      </c>
      <c r="G2" s="12" t="s">
        <v>31</v>
      </c>
      <c r="H2" s="12"/>
      <c r="I2" s="7" t="s">
        <v>32</v>
      </c>
      <c r="J2" s="35">
        <v>123000000</v>
      </c>
      <c r="K2" s="70">
        <v>132840000</v>
      </c>
      <c r="L2" s="70"/>
      <c r="M2" s="70">
        <f t="shared" ref="M2:M21" si="1">J2-J2*N2</f>
        <v>107010000</v>
      </c>
      <c r="N2" s="261">
        <v>0.13</v>
      </c>
      <c r="O2" s="37">
        <f t="shared" ref="O2:O21" si="2">+N2*J2</f>
        <v>15990000</v>
      </c>
      <c r="P2" s="13" t="s">
        <v>33</v>
      </c>
      <c r="Q2" s="7" t="str">
        <f>VLOOKUP('Data Doanh số'!P2,'DROPDOWNDATA-NOFILL'!$A$1:$B$40,2,FALSE)</f>
        <v>BU HCM</v>
      </c>
      <c r="R2" s="7" t="s">
        <v>34</v>
      </c>
      <c r="S2" s="7" t="s">
        <v>35</v>
      </c>
      <c r="T2" s="7" t="s">
        <v>36</v>
      </c>
      <c r="U2" s="7" t="s">
        <v>37</v>
      </c>
      <c r="V2" s="31">
        <v>46027</v>
      </c>
      <c r="W2" s="8">
        <f t="shared" ref="W2:W33" si="3">YEAR(D2)</f>
        <v>2026</v>
      </c>
      <c r="X2" s="8">
        <f t="shared" ref="X2:X33" si="4">MONTH(D2)</f>
        <v>1</v>
      </c>
      <c r="Y2" s="83">
        <f t="shared" ref="Y2:Y33" si="5">DAY(D2)</f>
        <v>5</v>
      </c>
      <c r="Z2" s="83" t="str">
        <f t="shared" ref="Z2:Z33" si="6">"W"&amp;WEEKNUM(D2)-WEEKNUM(EOMONTH(D2,-1)+1)+1</f>
        <v>W2</v>
      </c>
      <c r="AA2" s="83" t="str">
        <f t="shared" ref="AA2:AA33" si="7">"Quý "&amp;ROMAN(ROUNDUP(X2/3,0))</f>
        <v>Quý I</v>
      </c>
      <c r="AB2" s="80" t="str">
        <f>IF(OR(G2="Facebook",G2="Hotline",G2="Zalo",G2="Website",G2="Walk in"),"MKT",G2)</f>
        <v>Customer</v>
      </c>
      <c r="AC2" s="7"/>
    </row>
    <row r="3" spans="1:29" x14ac:dyDescent="0.2">
      <c r="A3" s="7">
        <f t="shared" si="0"/>
        <v>2</v>
      </c>
      <c r="B3" s="7" t="str">
        <f>LEFT(C3,12)</f>
        <v>29B2B2512062</v>
      </c>
      <c r="C3" s="10" t="s">
        <v>38</v>
      </c>
      <c r="D3" s="31">
        <v>46027</v>
      </c>
      <c r="E3" s="12" t="s">
        <v>39</v>
      </c>
      <c r="F3" s="7" t="s">
        <v>40</v>
      </c>
      <c r="G3" s="7" t="s">
        <v>40</v>
      </c>
      <c r="H3" s="7"/>
      <c r="I3" s="7" t="s">
        <v>41</v>
      </c>
      <c r="J3" s="35">
        <v>11111111</v>
      </c>
      <c r="K3" s="70">
        <v>12000000</v>
      </c>
      <c r="L3" s="70"/>
      <c r="M3" s="70">
        <f t="shared" si="1"/>
        <v>5555555.5</v>
      </c>
      <c r="N3" s="261">
        <v>0.5</v>
      </c>
      <c r="O3" s="37">
        <f t="shared" si="2"/>
        <v>5555555.5</v>
      </c>
      <c r="P3" s="13" t="s">
        <v>42</v>
      </c>
      <c r="Q3" s="7" t="str">
        <f>VLOOKUP('Data Doanh số'!P3,'DROPDOWNDATA-NOFILL'!$A$1:$B$40,2,FALSE)</f>
        <v>BU 1</v>
      </c>
      <c r="R3" s="7" t="s">
        <v>43</v>
      </c>
      <c r="S3" s="7" t="s">
        <v>44</v>
      </c>
      <c r="T3" s="7" t="s">
        <v>45</v>
      </c>
      <c r="U3" s="7" t="s">
        <v>46</v>
      </c>
      <c r="V3" s="31" t="s">
        <v>47</v>
      </c>
      <c r="W3" s="8">
        <f t="shared" si="3"/>
        <v>2026</v>
      </c>
      <c r="X3" s="8">
        <f t="shared" si="4"/>
        <v>1</v>
      </c>
      <c r="Y3" s="83">
        <f t="shared" si="5"/>
        <v>5</v>
      </c>
      <c r="Z3" s="83" t="str">
        <f t="shared" si="6"/>
        <v>W2</v>
      </c>
      <c r="AA3" s="83" t="str">
        <f t="shared" si="7"/>
        <v>Quý I</v>
      </c>
      <c r="AB3" s="80" t="str">
        <f>IF(OR(G3="Facebook",G3="Hotline",G3="Zalo",G3="Website",G3="Walk in"),"MKT",G3)</f>
        <v>MKT</v>
      </c>
      <c r="AC3" s="7"/>
    </row>
    <row r="4" spans="1:29" x14ac:dyDescent="0.2">
      <c r="A4" s="7">
        <f t="shared" si="0"/>
        <v>3</v>
      </c>
      <c r="B4" s="7" t="s">
        <v>48</v>
      </c>
      <c r="C4" s="10" t="s">
        <v>49</v>
      </c>
      <c r="D4" s="31">
        <v>46027</v>
      </c>
      <c r="E4" s="12" t="s">
        <v>50</v>
      </c>
      <c r="F4" s="12" t="s">
        <v>40</v>
      </c>
      <c r="G4" s="7" t="s">
        <v>40</v>
      </c>
      <c r="H4" s="7"/>
      <c r="I4" s="7" t="s">
        <v>51</v>
      </c>
      <c r="J4" s="35">
        <f>+K4/1.08</f>
        <v>206074074.07407406</v>
      </c>
      <c r="K4" s="70">
        <v>222560000</v>
      </c>
      <c r="L4" s="70"/>
      <c r="M4" s="70">
        <f t="shared" si="1"/>
        <v>136008888.8888889</v>
      </c>
      <c r="N4" s="261">
        <v>0.34</v>
      </c>
      <c r="O4" s="37">
        <f t="shared" si="2"/>
        <v>70065185.185185179</v>
      </c>
      <c r="P4" s="13" t="s">
        <v>42</v>
      </c>
      <c r="Q4" s="7" t="str">
        <f>VLOOKUP('Data Doanh số'!P4,'DROPDOWNDATA-NOFILL'!$A$1:$B$40,2,FALSE)</f>
        <v>BU 1</v>
      </c>
      <c r="R4" s="7" t="s">
        <v>43</v>
      </c>
      <c r="S4" s="7" t="s">
        <v>44</v>
      </c>
      <c r="T4" s="7" t="s">
        <v>45</v>
      </c>
      <c r="U4" s="7" t="s">
        <v>46</v>
      </c>
      <c r="V4" s="31" t="s">
        <v>47</v>
      </c>
      <c r="W4" s="8">
        <f t="shared" si="3"/>
        <v>2026</v>
      </c>
      <c r="X4" s="8">
        <f t="shared" si="4"/>
        <v>1</v>
      </c>
      <c r="Y4" s="83">
        <f t="shared" si="5"/>
        <v>5</v>
      </c>
      <c r="Z4" s="83" t="str">
        <f t="shared" si="6"/>
        <v>W2</v>
      </c>
      <c r="AA4" s="83" t="str">
        <f t="shared" si="7"/>
        <v>Quý I</v>
      </c>
      <c r="AB4" s="80" t="s">
        <v>52</v>
      </c>
      <c r="AC4" s="7"/>
    </row>
    <row r="5" spans="1:29" x14ac:dyDescent="0.2">
      <c r="A5" s="7">
        <f t="shared" si="0"/>
        <v>4</v>
      </c>
      <c r="B5" s="7" t="str">
        <f t="shared" ref="B5:B18" si="8">LEFT(C5,12)</f>
        <v>30B2C2601005</v>
      </c>
      <c r="C5" s="10" t="s">
        <v>53</v>
      </c>
      <c r="D5" s="31">
        <v>46030</v>
      </c>
      <c r="E5" s="12" t="s">
        <v>54</v>
      </c>
      <c r="F5" s="12" t="s">
        <v>40</v>
      </c>
      <c r="G5" s="7" t="s">
        <v>40</v>
      </c>
      <c r="H5" s="7"/>
      <c r="I5" s="7" t="s">
        <v>41</v>
      </c>
      <c r="J5" s="35">
        <f>+K5/1.08</f>
        <v>20833333.333333332</v>
      </c>
      <c r="K5" s="70">
        <v>22500000</v>
      </c>
      <c r="L5" s="70"/>
      <c r="M5" s="70">
        <f t="shared" si="1"/>
        <v>10416666.666666666</v>
      </c>
      <c r="N5" s="261">
        <v>0.5</v>
      </c>
      <c r="O5" s="37">
        <f t="shared" si="2"/>
        <v>10416666.666666666</v>
      </c>
      <c r="P5" s="13" t="s">
        <v>55</v>
      </c>
      <c r="Q5" s="7" t="str">
        <f>VLOOKUP('Data Doanh số'!P5,'DROPDOWNDATA-NOFILL'!$A$1:$B$40,2,FALSE)</f>
        <v>BU 2</v>
      </c>
      <c r="R5" s="7" t="s">
        <v>43</v>
      </c>
      <c r="S5" s="7" t="s">
        <v>44</v>
      </c>
      <c r="T5" s="7" t="s">
        <v>56</v>
      </c>
      <c r="U5" s="7" t="s">
        <v>46</v>
      </c>
      <c r="V5" s="31">
        <v>46029</v>
      </c>
      <c r="W5" s="8">
        <f t="shared" si="3"/>
        <v>2026</v>
      </c>
      <c r="X5" s="8">
        <f t="shared" si="4"/>
        <v>1</v>
      </c>
      <c r="Y5" s="83">
        <f t="shared" si="5"/>
        <v>8</v>
      </c>
      <c r="Z5" s="83" t="str">
        <f t="shared" si="6"/>
        <v>W2</v>
      </c>
      <c r="AA5" s="83" t="str">
        <f t="shared" si="7"/>
        <v>Quý I</v>
      </c>
      <c r="AB5" s="80" t="str">
        <f t="shared" ref="AB5:AB18" si="9">IF(OR(G5="Facebook",G5="Hotline",G5="Zalo",G5="Website",G5="Walk in"),"MKT",G5)</f>
        <v>MKT</v>
      </c>
      <c r="AC5" s="7"/>
    </row>
    <row r="6" spans="1:29" ht="30" x14ac:dyDescent="0.2">
      <c r="A6" s="7">
        <f t="shared" si="0"/>
        <v>5</v>
      </c>
      <c r="B6" s="7" t="str">
        <f t="shared" si="8"/>
        <v>29B2C2511024</v>
      </c>
      <c r="C6" s="10" t="s">
        <v>57</v>
      </c>
      <c r="D6" s="31">
        <v>46030</v>
      </c>
      <c r="E6" s="12" t="s">
        <v>58</v>
      </c>
      <c r="F6" s="7" t="s">
        <v>40</v>
      </c>
      <c r="G6" s="7" t="s">
        <v>40</v>
      </c>
      <c r="H6" s="7"/>
      <c r="I6" s="7" t="s">
        <v>51</v>
      </c>
      <c r="J6" s="35">
        <f>K6/1.08</f>
        <v>180833333.33333331</v>
      </c>
      <c r="K6" s="70">
        <v>195300000</v>
      </c>
      <c r="L6" s="70"/>
      <c r="M6" s="70">
        <f t="shared" si="1"/>
        <v>133816666.66666666</v>
      </c>
      <c r="N6" s="261">
        <v>0.26</v>
      </c>
      <c r="O6" s="37">
        <f t="shared" si="2"/>
        <v>47016666.666666664</v>
      </c>
      <c r="P6" s="13" t="s">
        <v>59</v>
      </c>
      <c r="Q6" s="7" t="str">
        <f>VLOOKUP('Data Doanh số'!P6,'DROPDOWNDATA-NOFILL'!$A$1:$B$40,2,FALSE)</f>
        <v>BU 3</v>
      </c>
      <c r="R6" s="7" t="s">
        <v>60</v>
      </c>
      <c r="S6" s="7" t="s">
        <v>44</v>
      </c>
      <c r="T6" s="7" t="s">
        <v>45</v>
      </c>
      <c r="U6" s="7" t="s">
        <v>46</v>
      </c>
      <c r="V6" s="31">
        <v>45970.588472222225</v>
      </c>
      <c r="W6" s="8">
        <f t="shared" si="3"/>
        <v>2026</v>
      </c>
      <c r="X6" s="8">
        <f t="shared" si="4"/>
        <v>1</v>
      </c>
      <c r="Y6" s="83">
        <f t="shared" si="5"/>
        <v>8</v>
      </c>
      <c r="Z6" s="83" t="str">
        <f t="shared" si="6"/>
        <v>W2</v>
      </c>
      <c r="AA6" s="83" t="str">
        <f t="shared" si="7"/>
        <v>Quý I</v>
      </c>
      <c r="AB6" s="80" t="str">
        <f t="shared" si="9"/>
        <v>MKT</v>
      </c>
      <c r="AC6" s="7"/>
    </row>
    <row r="7" spans="1:29" x14ac:dyDescent="0.2">
      <c r="A7" s="7">
        <f t="shared" si="0"/>
        <v>6</v>
      </c>
      <c r="B7" s="7" t="str">
        <f t="shared" si="8"/>
        <v>30B2C2601006</v>
      </c>
      <c r="C7" s="10" t="s">
        <v>61</v>
      </c>
      <c r="D7" s="31">
        <v>46036</v>
      </c>
      <c r="E7" s="12" t="s">
        <v>62</v>
      </c>
      <c r="F7" s="12" t="s">
        <v>40</v>
      </c>
      <c r="G7" s="7" t="s">
        <v>40</v>
      </c>
      <c r="H7" s="7"/>
      <c r="I7" s="7" t="s">
        <v>41</v>
      </c>
      <c r="J7" s="35">
        <f>+K7/1.08</f>
        <v>13597222.222222222</v>
      </c>
      <c r="K7" s="70">
        <v>14685000</v>
      </c>
      <c r="L7" s="70"/>
      <c r="M7" s="70">
        <f t="shared" si="1"/>
        <v>6798611.111111111</v>
      </c>
      <c r="N7" s="261">
        <v>0.5</v>
      </c>
      <c r="O7" s="37">
        <f t="shared" si="2"/>
        <v>6798611.111111111</v>
      </c>
      <c r="P7" s="13" t="s">
        <v>63</v>
      </c>
      <c r="Q7" s="7" t="str">
        <f>VLOOKUP('Data Doanh số'!P7,'DROPDOWNDATA-NOFILL'!$A$1:$B$40,2,FALSE)</f>
        <v>BU 3</v>
      </c>
      <c r="R7" s="7" t="s">
        <v>34</v>
      </c>
      <c r="S7" s="7" t="s">
        <v>44</v>
      </c>
      <c r="T7" s="7" t="s">
        <v>64</v>
      </c>
      <c r="U7" s="7" t="s">
        <v>65</v>
      </c>
      <c r="V7" s="31">
        <v>46027.389965277776</v>
      </c>
      <c r="W7" s="8">
        <f t="shared" si="3"/>
        <v>2026</v>
      </c>
      <c r="X7" s="8">
        <f t="shared" si="4"/>
        <v>1</v>
      </c>
      <c r="Y7" s="83">
        <f t="shared" si="5"/>
        <v>14</v>
      </c>
      <c r="Z7" s="83" t="str">
        <f t="shared" si="6"/>
        <v>W3</v>
      </c>
      <c r="AA7" s="83" t="str">
        <f t="shared" si="7"/>
        <v>Quý I</v>
      </c>
      <c r="AB7" s="80" t="str">
        <f t="shared" si="9"/>
        <v>MKT</v>
      </c>
      <c r="AC7" s="7"/>
    </row>
    <row r="8" spans="1:29" x14ac:dyDescent="0.2">
      <c r="A8" s="7">
        <f t="shared" si="0"/>
        <v>7</v>
      </c>
      <c r="B8" s="7" t="str">
        <f t="shared" si="8"/>
        <v>30B2C2601006</v>
      </c>
      <c r="C8" s="10" t="s">
        <v>66</v>
      </c>
      <c r="D8" s="31">
        <v>46036</v>
      </c>
      <c r="E8" s="12" t="s">
        <v>67</v>
      </c>
      <c r="F8" s="12" t="s">
        <v>40</v>
      </c>
      <c r="G8" s="7" t="s">
        <v>40</v>
      </c>
      <c r="H8" s="7"/>
      <c r="I8" s="7" t="s">
        <v>51</v>
      </c>
      <c r="J8" s="35">
        <f>+K8/1.08</f>
        <v>233418491.66666666</v>
      </c>
      <c r="K8" s="70">
        <v>252091971</v>
      </c>
      <c r="L8" s="70"/>
      <c r="M8" s="70">
        <f t="shared" si="1"/>
        <v>186734793.33333331</v>
      </c>
      <c r="N8" s="261">
        <v>0.2</v>
      </c>
      <c r="O8" s="37">
        <f t="shared" si="2"/>
        <v>46683698.333333336</v>
      </c>
      <c r="P8" s="13" t="s">
        <v>63</v>
      </c>
      <c r="Q8" s="7" t="str">
        <f>VLOOKUP('Data Doanh số'!P8,'DROPDOWNDATA-NOFILL'!$A$1:$B$40,2,FALSE)</f>
        <v>BU 3</v>
      </c>
      <c r="R8" s="7" t="s">
        <v>34</v>
      </c>
      <c r="S8" s="7" t="s">
        <v>44</v>
      </c>
      <c r="T8" s="7" t="s">
        <v>64</v>
      </c>
      <c r="U8" s="7" t="s">
        <v>65</v>
      </c>
      <c r="V8" s="31">
        <v>46027.389965277776</v>
      </c>
      <c r="W8" s="8">
        <f t="shared" si="3"/>
        <v>2026</v>
      </c>
      <c r="X8" s="8">
        <f t="shared" si="4"/>
        <v>1</v>
      </c>
      <c r="Y8" s="83">
        <f t="shared" si="5"/>
        <v>14</v>
      </c>
      <c r="Z8" s="83" t="str">
        <f t="shared" si="6"/>
        <v>W3</v>
      </c>
      <c r="AA8" s="83" t="str">
        <f t="shared" si="7"/>
        <v>Quý I</v>
      </c>
      <c r="AB8" s="80" t="str">
        <f t="shared" si="9"/>
        <v>MKT</v>
      </c>
      <c r="AC8" s="7"/>
    </row>
    <row r="9" spans="1:29" x14ac:dyDescent="0.2">
      <c r="A9" s="7">
        <f t="shared" si="0"/>
        <v>8</v>
      </c>
      <c r="B9" s="7" t="str">
        <f t="shared" si="8"/>
        <v>51EAZ2601008</v>
      </c>
      <c r="C9" s="10" t="s">
        <v>68</v>
      </c>
      <c r="D9" s="31">
        <v>46038</v>
      </c>
      <c r="E9" s="12" t="s">
        <v>69</v>
      </c>
      <c r="F9" s="12" t="s">
        <v>40</v>
      </c>
      <c r="G9" s="7" t="s">
        <v>40</v>
      </c>
      <c r="H9" s="7"/>
      <c r="I9" s="7" t="s">
        <v>70</v>
      </c>
      <c r="J9" s="35">
        <v>6922000</v>
      </c>
      <c r="K9" s="70">
        <v>7475760</v>
      </c>
      <c r="L9" s="70"/>
      <c r="M9" s="70">
        <f t="shared" si="1"/>
        <v>2076600</v>
      </c>
      <c r="N9" s="261">
        <v>0.7</v>
      </c>
      <c r="O9" s="37">
        <f t="shared" si="2"/>
        <v>4845400</v>
      </c>
      <c r="P9" s="13" t="s">
        <v>71</v>
      </c>
      <c r="Q9" s="7" t="str">
        <f>VLOOKUP('Data Doanh số'!P9,'DROPDOWNDATA-NOFILL'!$A$1:$B$40,2,FALSE)</f>
        <v>BU 1</v>
      </c>
      <c r="R9" s="7" t="s">
        <v>60</v>
      </c>
      <c r="S9" s="7" t="s">
        <v>44</v>
      </c>
      <c r="T9" s="7" t="s">
        <v>36</v>
      </c>
      <c r="U9" s="7" t="s">
        <v>65</v>
      </c>
      <c r="V9" s="31">
        <v>46038.696921296294</v>
      </c>
      <c r="W9" s="8">
        <f t="shared" si="3"/>
        <v>2026</v>
      </c>
      <c r="X9" s="8">
        <f t="shared" si="4"/>
        <v>1</v>
      </c>
      <c r="Y9" s="83">
        <f t="shared" si="5"/>
        <v>16</v>
      </c>
      <c r="Z9" s="83" t="str">
        <f t="shared" si="6"/>
        <v>W3</v>
      </c>
      <c r="AA9" s="83" t="str">
        <f t="shared" si="7"/>
        <v>Quý I</v>
      </c>
      <c r="AB9" s="80" t="str">
        <f t="shared" si="9"/>
        <v>MKT</v>
      </c>
      <c r="AC9" s="7"/>
    </row>
    <row r="10" spans="1:29" x14ac:dyDescent="0.2">
      <c r="A10" s="7">
        <f t="shared" si="0"/>
        <v>9</v>
      </c>
      <c r="B10" s="7" t="str">
        <f t="shared" si="8"/>
        <v>15B2C2503026</v>
      </c>
      <c r="C10" s="10" t="s">
        <v>72</v>
      </c>
      <c r="D10" s="31">
        <v>46041</v>
      </c>
      <c r="E10" s="12" t="s">
        <v>73</v>
      </c>
      <c r="F10" s="12" t="s">
        <v>40</v>
      </c>
      <c r="G10" s="7" t="s">
        <v>40</v>
      </c>
      <c r="H10" s="7"/>
      <c r="I10" s="7" t="s">
        <v>74</v>
      </c>
      <c r="J10" s="35">
        <v>186953296</v>
      </c>
      <c r="K10" s="70">
        <v>201909560</v>
      </c>
      <c r="L10" s="70"/>
      <c r="M10" s="70">
        <f t="shared" si="1"/>
        <v>145823570.88</v>
      </c>
      <c r="N10" s="261">
        <v>0.22</v>
      </c>
      <c r="O10" s="37">
        <f t="shared" si="2"/>
        <v>41129725.119999997</v>
      </c>
      <c r="P10" s="13" t="s">
        <v>71</v>
      </c>
      <c r="Q10" s="7" t="str">
        <f>VLOOKUP('Data Doanh số'!P10,'DROPDOWNDATA-NOFILL'!$A$1:$B$40,2,FALSE)</f>
        <v>BU 1</v>
      </c>
      <c r="R10" s="7" t="s">
        <v>60</v>
      </c>
      <c r="S10" s="7" t="s">
        <v>44</v>
      </c>
      <c r="T10" s="7" t="s">
        <v>75</v>
      </c>
      <c r="U10" s="7" t="s">
        <v>76</v>
      </c>
      <c r="V10" s="31">
        <v>45989</v>
      </c>
      <c r="W10" s="8">
        <f t="shared" si="3"/>
        <v>2026</v>
      </c>
      <c r="X10" s="8">
        <f t="shared" si="4"/>
        <v>1</v>
      </c>
      <c r="Y10" s="83">
        <f t="shared" si="5"/>
        <v>19</v>
      </c>
      <c r="Z10" s="83" t="str">
        <f t="shared" si="6"/>
        <v>W4</v>
      </c>
      <c r="AA10" s="83" t="str">
        <f t="shared" si="7"/>
        <v>Quý I</v>
      </c>
      <c r="AB10" s="80" t="str">
        <f t="shared" si="9"/>
        <v>MKT</v>
      </c>
      <c r="AC10" s="7"/>
    </row>
    <row r="11" spans="1:29" x14ac:dyDescent="0.2">
      <c r="A11" s="7">
        <f t="shared" si="0"/>
        <v>10</v>
      </c>
      <c r="B11" s="7" t="str">
        <f t="shared" si="8"/>
        <v>51B2C2601012</v>
      </c>
      <c r="C11" s="10" t="s">
        <v>77</v>
      </c>
      <c r="D11" s="31">
        <v>46041</v>
      </c>
      <c r="E11" s="12" t="s">
        <v>78</v>
      </c>
      <c r="F11" s="12" t="s">
        <v>79</v>
      </c>
      <c r="G11" s="7" t="s">
        <v>79</v>
      </c>
      <c r="H11" s="7"/>
      <c r="I11" s="7" t="s">
        <v>51</v>
      </c>
      <c r="J11" s="35">
        <v>651700420</v>
      </c>
      <c r="K11" s="70">
        <f>J11*1.08</f>
        <v>703836453.60000002</v>
      </c>
      <c r="L11" s="70"/>
      <c r="M11" s="70">
        <f t="shared" si="1"/>
        <v>521360336</v>
      </c>
      <c r="N11" s="261">
        <v>0.2</v>
      </c>
      <c r="O11" s="37">
        <f t="shared" si="2"/>
        <v>130340084</v>
      </c>
      <c r="P11" s="13" t="s">
        <v>80</v>
      </c>
      <c r="Q11" s="7" t="str">
        <f>VLOOKUP('Data Doanh số'!P11,'DROPDOWNDATA-NOFILL'!$A$1:$B$40,2,FALSE)</f>
        <v>BU HCM</v>
      </c>
      <c r="R11" s="7" t="s">
        <v>43</v>
      </c>
      <c r="S11" s="7" t="s">
        <v>44</v>
      </c>
      <c r="T11" s="7" t="s">
        <v>36</v>
      </c>
      <c r="U11" s="7" t="s">
        <v>76</v>
      </c>
      <c r="V11" s="31">
        <v>45980</v>
      </c>
      <c r="W11" s="8">
        <f t="shared" si="3"/>
        <v>2026</v>
      </c>
      <c r="X11" s="8">
        <f t="shared" si="4"/>
        <v>1</v>
      </c>
      <c r="Y11" s="83">
        <f t="shared" si="5"/>
        <v>19</v>
      </c>
      <c r="Z11" s="83" t="str">
        <f t="shared" si="6"/>
        <v>W4</v>
      </c>
      <c r="AA11" s="83" t="str">
        <f t="shared" si="7"/>
        <v>Quý I</v>
      </c>
      <c r="AB11" s="80" t="str">
        <f t="shared" si="9"/>
        <v>Reference</v>
      </c>
      <c r="AC11" s="7"/>
    </row>
    <row r="12" spans="1:29" x14ac:dyDescent="0.2">
      <c r="A12" s="7">
        <f t="shared" si="0"/>
        <v>11</v>
      </c>
      <c r="B12" s="7" t="str">
        <f t="shared" si="8"/>
        <v>29B2C2601007</v>
      </c>
      <c r="C12" s="10" t="s">
        <v>81</v>
      </c>
      <c r="D12" s="31">
        <v>46042</v>
      </c>
      <c r="E12" s="12" t="s">
        <v>82</v>
      </c>
      <c r="F12" s="12" t="s">
        <v>40</v>
      </c>
      <c r="G12" s="7" t="s">
        <v>31</v>
      </c>
      <c r="H12" s="7"/>
      <c r="I12" s="7" t="s">
        <v>51</v>
      </c>
      <c r="J12" s="35">
        <v>337115981</v>
      </c>
      <c r="K12" s="70">
        <v>364085259</v>
      </c>
      <c r="L12" s="70"/>
      <c r="M12" s="70">
        <f t="shared" si="1"/>
        <v>256208145.56</v>
      </c>
      <c r="N12" s="261">
        <v>0.24</v>
      </c>
      <c r="O12" s="37">
        <f t="shared" si="2"/>
        <v>80907835.439999998</v>
      </c>
      <c r="P12" s="13" t="s">
        <v>83</v>
      </c>
      <c r="Q12" s="7" t="str">
        <f>VLOOKUP('Data Doanh số'!P12,'DROPDOWNDATA-NOFILL'!$A$1:$B$40,2,FALSE)</f>
        <v>BU 1</v>
      </c>
      <c r="R12" s="7" t="s">
        <v>60</v>
      </c>
      <c r="S12" s="7" t="s">
        <v>44</v>
      </c>
      <c r="T12" s="7" t="s">
        <v>84</v>
      </c>
      <c r="U12" s="7" t="s">
        <v>65</v>
      </c>
      <c r="V12" s="31">
        <v>45903</v>
      </c>
      <c r="W12" s="8">
        <f t="shared" si="3"/>
        <v>2026</v>
      </c>
      <c r="X12" s="8">
        <f t="shared" si="4"/>
        <v>1</v>
      </c>
      <c r="Y12" s="83">
        <f t="shared" si="5"/>
        <v>20</v>
      </c>
      <c r="Z12" s="83" t="str">
        <f t="shared" si="6"/>
        <v>W4</v>
      </c>
      <c r="AA12" s="83" t="str">
        <f t="shared" si="7"/>
        <v>Quý I</v>
      </c>
      <c r="AB12" s="80" t="str">
        <f t="shared" si="9"/>
        <v>Customer</v>
      </c>
      <c r="AC12" s="7"/>
    </row>
    <row r="13" spans="1:29" x14ac:dyDescent="0.2">
      <c r="A13" s="7">
        <f t="shared" si="0"/>
        <v>12</v>
      </c>
      <c r="B13" s="7" t="str">
        <f t="shared" si="8"/>
        <v>99B2C2601012</v>
      </c>
      <c r="C13" s="10" t="s">
        <v>85</v>
      </c>
      <c r="D13" s="31">
        <v>46042</v>
      </c>
      <c r="E13" s="12" t="s">
        <v>86</v>
      </c>
      <c r="F13" s="12" t="s">
        <v>40</v>
      </c>
      <c r="G13" s="7" t="s">
        <v>40</v>
      </c>
      <c r="H13" s="7"/>
      <c r="I13" s="7" t="s">
        <v>51</v>
      </c>
      <c r="J13" s="35">
        <v>328703000</v>
      </c>
      <c r="K13" s="70">
        <v>354999240</v>
      </c>
      <c r="L13" s="70"/>
      <c r="M13" s="70">
        <f t="shared" si="1"/>
        <v>262962400</v>
      </c>
      <c r="N13" s="261">
        <v>0.2</v>
      </c>
      <c r="O13" s="37">
        <f t="shared" si="2"/>
        <v>65740600</v>
      </c>
      <c r="P13" s="13" t="s">
        <v>87</v>
      </c>
      <c r="Q13" s="7" t="str">
        <f>VLOOKUP('Data Doanh số'!P13,'DROPDOWNDATA-NOFILL'!$A$1:$B$40,2,FALSE)</f>
        <v>BU 1</v>
      </c>
      <c r="R13" s="7" t="s">
        <v>60</v>
      </c>
      <c r="S13" s="7" t="s">
        <v>44</v>
      </c>
      <c r="T13" s="7" t="s">
        <v>88</v>
      </c>
      <c r="U13" s="7" t="s">
        <v>46</v>
      </c>
      <c r="V13" s="31">
        <v>45972</v>
      </c>
      <c r="W13" s="8">
        <f t="shared" si="3"/>
        <v>2026</v>
      </c>
      <c r="X13" s="8">
        <f t="shared" si="4"/>
        <v>1</v>
      </c>
      <c r="Y13" s="83">
        <f t="shared" si="5"/>
        <v>20</v>
      </c>
      <c r="Z13" s="83" t="str">
        <f t="shared" si="6"/>
        <v>W4</v>
      </c>
      <c r="AA13" s="83" t="str">
        <f t="shared" si="7"/>
        <v>Quý I</v>
      </c>
      <c r="AB13" s="80" t="str">
        <f t="shared" si="9"/>
        <v>MKT</v>
      </c>
      <c r="AC13" s="7"/>
    </row>
    <row r="14" spans="1:29" x14ac:dyDescent="0.2">
      <c r="A14" s="7">
        <f t="shared" si="0"/>
        <v>13</v>
      </c>
      <c r="B14" s="7" t="str">
        <f t="shared" si="8"/>
        <v>17B2C2601016</v>
      </c>
      <c r="C14" s="10" t="s">
        <v>89</v>
      </c>
      <c r="D14" s="31">
        <v>46044</v>
      </c>
      <c r="E14" s="12" t="s">
        <v>90</v>
      </c>
      <c r="F14" s="12" t="s">
        <v>91</v>
      </c>
      <c r="G14" s="7" t="s">
        <v>91</v>
      </c>
      <c r="H14" s="7"/>
      <c r="I14" s="7" t="s">
        <v>41</v>
      </c>
      <c r="J14" s="35">
        <f>+K14/1.08</f>
        <v>2750000</v>
      </c>
      <c r="K14" s="70">
        <v>2970000</v>
      </c>
      <c r="L14" s="70"/>
      <c r="M14" s="70">
        <f t="shared" si="1"/>
        <v>1375000</v>
      </c>
      <c r="N14" s="261">
        <v>0.5</v>
      </c>
      <c r="O14" s="37">
        <f t="shared" si="2"/>
        <v>1375000</v>
      </c>
      <c r="P14" s="13" t="s">
        <v>92</v>
      </c>
      <c r="Q14" s="7" t="str">
        <f>VLOOKUP('Data Doanh số'!P14,'DROPDOWNDATA-NOFILL'!$A$1:$B$40,2,FALSE)</f>
        <v>BU 3</v>
      </c>
      <c r="R14" s="7" t="s">
        <v>34</v>
      </c>
      <c r="S14" s="7" t="s">
        <v>44</v>
      </c>
      <c r="T14" s="7" t="s">
        <v>45</v>
      </c>
      <c r="U14" s="7" t="s">
        <v>46</v>
      </c>
      <c r="V14" s="31">
        <v>46038</v>
      </c>
      <c r="W14" s="8">
        <f t="shared" si="3"/>
        <v>2026</v>
      </c>
      <c r="X14" s="8">
        <f t="shared" si="4"/>
        <v>1</v>
      </c>
      <c r="Y14" s="83">
        <f t="shared" si="5"/>
        <v>22</v>
      </c>
      <c r="Z14" s="83" t="str">
        <f t="shared" si="6"/>
        <v>W4</v>
      </c>
      <c r="AA14" s="83" t="str">
        <f t="shared" si="7"/>
        <v>Quý I</v>
      </c>
      <c r="AB14" s="80" t="str">
        <f t="shared" si="9"/>
        <v>MKT</v>
      </c>
      <c r="AC14" s="7" t="s">
        <v>93</v>
      </c>
    </row>
    <row r="15" spans="1:29" x14ac:dyDescent="0.2">
      <c r="A15" s="7">
        <f t="shared" si="0"/>
        <v>14</v>
      </c>
      <c r="B15" s="7" t="str">
        <f t="shared" si="8"/>
        <v>17B2C2601016</v>
      </c>
      <c r="C15" s="10" t="s">
        <v>94</v>
      </c>
      <c r="D15" s="31">
        <v>46044</v>
      </c>
      <c r="E15" s="12" t="s">
        <v>95</v>
      </c>
      <c r="F15" s="12" t="s">
        <v>91</v>
      </c>
      <c r="G15" s="7" t="s">
        <v>91</v>
      </c>
      <c r="H15" s="7"/>
      <c r="I15" s="7" t="s">
        <v>51</v>
      </c>
      <c r="J15" s="35">
        <f>+K15/1.08</f>
        <v>42229629.629629627</v>
      </c>
      <c r="K15" s="70">
        <v>45608000</v>
      </c>
      <c r="L15" s="70"/>
      <c r="M15" s="70">
        <f t="shared" si="1"/>
        <v>29560740.740740739</v>
      </c>
      <c r="N15" s="261">
        <v>0.3</v>
      </c>
      <c r="O15" s="37">
        <f t="shared" si="2"/>
        <v>12668888.888888888</v>
      </c>
      <c r="P15" s="13" t="s">
        <v>92</v>
      </c>
      <c r="Q15" s="7" t="str">
        <f>VLOOKUP('Data Doanh số'!P15,'DROPDOWNDATA-NOFILL'!$A$1:$B$40,2,FALSE)</f>
        <v>BU 3</v>
      </c>
      <c r="R15" s="7" t="s">
        <v>34</v>
      </c>
      <c r="S15" s="7" t="s">
        <v>44</v>
      </c>
      <c r="T15" s="7" t="s">
        <v>45</v>
      </c>
      <c r="U15" s="7" t="s">
        <v>46</v>
      </c>
      <c r="V15" s="31">
        <v>46038</v>
      </c>
      <c r="W15" s="8">
        <f t="shared" si="3"/>
        <v>2026</v>
      </c>
      <c r="X15" s="8">
        <f t="shared" si="4"/>
        <v>1</v>
      </c>
      <c r="Y15" s="83">
        <f t="shared" si="5"/>
        <v>22</v>
      </c>
      <c r="Z15" s="83" t="str">
        <f t="shared" si="6"/>
        <v>W4</v>
      </c>
      <c r="AA15" s="83" t="str">
        <f t="shared" si="7"/>
        <v>Quý I</v>
      </c>
      <c r="AB15" s="80" t="str">
        <f t="shared" si="9"/>
        <v>MKT</v>
      </c>
      <c r="AC15" s="7" t="s">
        <v>93</v>
      </c>
    </row>
    <row r="16" spans="1:29" x14ac:dyDescent="0.2">
      <c r="A16" s="7">
        <f t="shared" si="0"/>
        <v>15</v>
      </c>
      <c r="B16" s="7" t="str">
        <f t="shared" si="8"/>
        <v>51B2B2506024</v>
      </c>
      <c r="C16" s="10" t="s">
        <v>96</v>
      </c>
      <c r="D16" s="31">
        <v>46045</v>
      </c>
      <c r="E16" s="12" t="s">
        <v>97</v>
      </c>
      <c r="F16" s="7" t="s">
        <v>98</v>
      </c>
      <c r="G16" s="7" t="s">
        <v>98</v>
      </c>
      <c r="H16" s="7"/>
      <c r="I16" s="7" t="s">
        <v>51</v>
      </c>
      <c r="J16" s="35">
        <v>86677670</v>
      </c>
      <c r="K16" s="70">
        <v>93611884</v>
      </c>
      <c r="L16" s="70"/>
      <c r="M16" s="70">
        <f t="shared" si="1"/>
        <v>73676019.5</v>
      </c>
      <c r="N16" s="261">
        <v>0.15</v>
      </c>
      <c r="O16" s="37">
        <f t="shared" si="2"/>
        <v>13001650.5</v>
      </c>
      <c r="P16" s="13" t="s">
        <v>80</v>
      </c>
      <c r="Q16" s="7" t="str">
        <f>VLOOKUP('Data Doanh số'!P16,'DROPDOWNDATA-NOFILL'!$A$1:$B$40,2,FALSE)</f>
        <v>BU HCM</v>
      </c>
      <c r="R16" s="7" t="s">
        <v>60</v>
      </c>
      <c r="S16" s="7" t="s">
        <v>44</v>
      </c>
      <c r="T16" s="7" t="s">
        <v>99</v>
      </c>
      <c r="U16" s="7" t="s">
        <v>46</v>
      </c>
      <c r="V16" s="31">
        <v>46045</v>
      </c>
      <c r="W16" s="8">
        <f t="shared" si="3"/>
        <v>2026</v>
      </c>
      <c r="X16" s="8">
        <f t="shared" si="4"/>
        <v>1</v>
      </c>
      <c r="Y16" s="83">
        <f t="shared" si="5"/>
        <v>23</v>
      </c>
      <c r="Z16" s="83" t="str">
        <f t="shared" si="6"/>
        <v>W4</v>
      </c>
      <c r="AA16" s="83" t="str">
        <f t="shared" si="7"/>
        <v>Quý I</v>
      </c>
      <c r="AB16" s="80" t="str">
        <f t="shared" si="9"/>
        <v>MKT</v>
      </c>
      <c r="AC16" s="7"/>
    </row>
    <row r="17" spans="1:29" x14ac:dyDescent="0.2">
      <c r="A17" s="7">
        <f t="shared" si="0"/>
        <v>16</v>
      </c>
      <c r="B17" s="7" t="str">
        <f t="shared" si="8"/>
        <v>51B2C2601016</v>
      </c>
      <c r="C17" s="10" t="s">
        <v>100</v>
      </c>
      <c r="D17" s="31">
        <v>46045</v>
      </c>
      <c r="E17" s="12" t="s">
        <v>101</v>
      </c>
      <c r="F17" s="12" t="s">
        <v>102</v>
      </c>
      <c r="G17" s="7" t="s">
        <v>102</v>
      </c>
      <c r="H17" s="7"/>
      <c r="I17" s="7" t="s">
        <v>51</v>
      </c>
      <c r="J17" s="35">
        <v>21540000</v>
      </c>
      <c r="K17" s="70">
        <v>23263200</v>
      </c>
      <c r="L17" s="70"/>
      <c r="M17" s="70">
        <f t="shared" si="1"/>
        <v>17016600</v>
      </c>
      <c r="N17" s="261">
        <v>0.21</v>
      </c>
      <c r="O17" s="37">
        <f t="shared" si="2"/>
        <v>4523400</v>
      </c>
      <c r="P17" s="13" t="s">
        <v>80</v>
      </c>
      <c r="Q17" s="7" t="str">
        <f>VLOOKUP('Data Doanh số'!P17,'DROPDOWNDATA-NOFILL'!$A$1:$B$40,2,FALSE)</f>
        <v>BU HCM</v>
      </c>
      <c r="R17" s="12" t="s">
        <v>34</v>
      </c>
      <c r="S17" s="12" t="s">
        <v>35</v>
      </c>
      <c r="T17" s="12" t="s">
        <v>45</v>
      </c>
      <c r="U17" s="12" t="s">
        <v>37</v>
      </c>
      <c r="V17" s="31">
        <v>46045</v>
      </c>
      <c r="W17" s="8">
        <f t="shared" si="3"/>
        <v>2026</v>
      </c>
      <c r="X17" s="8">
        <f t="shared" si="4"/>
        <v>1</v>
      </c>
      <c r="Y17" s="83">
        <f t="shared" si="5"/>
        <v>23</v>
      </c>
      <c r="Z17" s="83" t="str">
        <f t="shared" si="6"/>
        <v>W4</v>
      </c>
      <c r="AA17" s="83" t="str">
        <f t="shared" si="7"/>
        <v>Quý I</v>
      </c>
      <c r="AB17" s="80" t="str">
        <f t="shared" si="9"/>
        <v>Partner</v>
      </c>
      <c r="AC17" s="7"/>
    </row>
    <row r="18" spans="1:29" x14ac:dyDescent="0.2">
      <c r="A18" s="7">
        <f t="shared" si="0"/>
        <v>17</v>
      </c>
      <c r="B18" s="7" t="str">
        <f t="shared" si="8"/>
        <v>29B2C2601015</v>
      </c>
      <c r="C18" s="10" t="s">
        <v>103</v>
      </c>
      <c r="D18" s="31">
        <v>46048</v>
      </c>
      <c r="E18" s="12" t="s">
        <v>104</v>
      </c>
      <c r="F18" s="12" t="s">
        <v>40</v>
      </c>
      <c r="G18" s="7" t="s">
        <v>40</v>
      </c>
      <c r="H18" s="7"/>
      <c r="I18" s="7" t="s">
        <v>41</v>
      </c>
      <c r="J18" s="35">
        <f>+K18/1.08</f>
        <v>25194444.444444444</v>
      </c>
      <c r="K18" s="70">
        <v>27210000</v>
      </c>
      <c r="L18" s="70"/>
      <c r="M18" s="70">
        <f t="shared" si="1"/>
        <v>12597222.222222222</v>
      </c>
      <c r="N18" s="261">
        <v>0.5</v>
      </c>
      <c r="O18" s="37">
        <f t="shared" si="2"/>
        <v>12597222.222222222</v>
      </c>
      <c r="P18" s="13" t="s">
        <v>105</v>
      </c>
      <c r="Q18" s="7" t="str">
        <f>VLOOKUP('Data Doanh số'!P18,'DROPDOWNDATA-NOFILL'!$A$1:$B$40,2,FALSE)</f>
        <v>BU 1</v>
      </c>
      <c r="R18" s="7" t="s">
        <v>43</v>
      </c>
      <c r="S18" s="7" t="s">
        <v>44</v>
      </c>
      <c r="T18" s="7" t="s">
        <v>45</v>
      </c>
      <c r="U18" s="7" t="s">
        <v>46</v>
      </c>
      <c r="V18" s="31">
        <v>46042</v>
      </c>
      <c r="W18" s="8">
        <f t="shared" si="3"/>
        <v>2026</v>
      </c>
      <c r="X18" s="8">
        <f t="shared" si="4"/>
        <v>1</v>
      </c>
      <c r="Y18" s="83">
        <f t="shared" si="5"/>
        <v>26</v>
      </c>
      <c r="Z18" s="83" t="str">
        <f t="shared" si="6"/>
        <v>W5</v>
      </c>
      <c r="AA18" s="83" t="str">
        <f t="shared" si="7"/>
        <v>Quý I</v>
      </c>
      <c r="AB18" s="80" t="str">
        <f t="shared" si="9"/>
        <v>MKT</v>
      </c>
      <c r="AC18" s="7"/>
    </row>
    <row r="19" spans="1:29" x14ac:dyDescent="0.2">
      <c r="A19" s="7">
        <f t="shared" si="0"/>
        <v>18</v>
      </c>
      <c r="B19" s="7" t="s">
        <v>106</v>
      </c>
      <c r="C19" s="10" t="s">
        <v>107</v>
      </c>
      <c r="D19" s="31">
        <v>46048</v>
      </c>
      <c r="E19" s="12" t="s">
        <v>108</v>
      </c>
      <c r="F19" s="12" t="s">
        <v>40</v>
      </c>
      <c r="G19" s="7" t="s">
        <v>40</v>
      </c>
      <c r="H19" s="7"/>
      <c r="I19" s="7" t="s">
        <v>51</v>
      </c>
      <c r="J19" s="35">
        <f>K19/1.08</f>
        <v>419351162.96296293</v>
      </c>
      <c r="K19" s="70">
        <v>452899256</v>
      </c>
      <c r="L19" s="70"/>
      <c r="M19" s="70">
        <f t="shared" si="1"/>
        <v>327093907.11111104</v>
      </c>
      <c r="N19" s="261">
        <v>0.22</v>
      </c>
      <c r="O19" s="37">
        <f t="shared" si="2"/>
        <v>92257255.851851851</v>
      </c>
      <c r="P19" s="13" t="s">
        <v>105</v>
      </c>
      <c r="Q19" s="7" t="str">
        <f>VLOOKUP('Data Doanh số'!P19,'DROPDOWNDATA-NOFILL'!$A$1:$B$40,2,FALSE)</f>
        <v>BU 1</v>
      </c>
      <c r="R19" s="7" t="s">
        <v>43</v>
      </c>
      <c r="S19" s="7" t="s">
        <v>44</v>
      </c>
      <c r="T19" s="7" t="s">
        <v>45</v>
      </c>
      <c r="U19" s="7" t="s">
        <v>46</v>
      </c>
      <c r="V19" s="31">
        <v>46042</v>
      </c>
      <c r="W19" s="8">
        <f t="shared" si="3"/>
        <v>2026</v>
      </c>
      <c r="X19" s="8">
        <f t="shared" si="4"/>
        <v>1</v>
      </c>
      <c r="Y19" s="83">
        <f t="shared" si="5"/>
        <v>26</v>
      </c>
      <c r="Z19" s="83" t="str">
        <f t="shared" si="6"/>
        <v>W5</v>
      </c>
      <c r="AA19" s="83" t="str">
        <f t="shared" si="7"/>
        <v>Quý I</v>
      </c>
      <c r="AB19" s="80" t="s">
        <v>52</v>
      </c>
      <c r="AC19" s="7"/>
    </row>
    <row r="20" spans="1:29" x14ac:dyDescent="0.2">
      <c r="A20" s="7">
        <f t="shared" si="0"/>
        <v>19</v>
      </c>
      <c r="B20" s="7" t="str">
        <f>LEFT(C20,12)</f>
        <v>51B2C2601018</v>
      </c>
      <c r="C20" s="10" t="s">
        <v>109</v>
      </c>
      <c r="D20" s="31">
        <v>46050</v>
      </c>
      <c r="E20" s="12" t="s">
        <v>110</v>
      </c>
      <c r="F20" s="12" t="s">
        <v>79</v>
      </c>
      <c r="G20" s="7" t="s">
        <v>79</v>
      </c>
      <c r="H20" s="7"/>
      <c r="I20" s="7" t="s">
        <v>51</v>
      </c>
      <c r="J20" s="35">
        <v>287266174</v>
      </c>
      <c r="K20" s="70">
        <v>310247468</v>
      </c>
      <c r="L20" s="70"/>
      <c r="M20" s="70">
        <f t="shared" si="1"/>
        <v>249921571.38</v>
      </c>
      <c r="N20" s="261">
        <v>0.13</v>
      </c>
      <c r="O20" s="37">
        <f t="shared" si="2"/>
        <v>37344602.620000005</v>
      </c>
      <c r="P20" s="13" t="s">
        <v>33</v>
      </c>
      <c r="Q20" s="7" t="str">
        <f>VLOOKUP('Data Doanh số'!P20,'DROPDOWNDATA-NOFILL'!$A$1:$B$40,2,FALSE)</f>
        <v>BU HCM</v>
      </c>
      <c r="R20" s="7" t="s">
        <v>43</v>
      </c>
      <c r="S20" s="7" t="s">
        <v>44</v>
      </c>
      <c r="T20" s="7" t="s">
        <v>99</v>
      </c>
      <c r="U20" s="7" t="s">
        <v>65</v>
      </c>
      <c r="V20" s="31">
        <v>46051</v>
      </c>
      <c r="W20" s="8">
        <f t="shared" si="3"/>
        <v>2026</v>
      </c>
      <c r="X20" s="8">
        <f t="shared" si="4"/>
        <v>1</v>
      </c>
      <c r="Y20" s="83">
        <f t="shared" si="5"/>
        <v>28</v>
      </c>
      <c r="Z20" s="83" t="str">
        <f t="shared" si="6"/>
        <v>W5</v>
      </c>
      <c r="AA20" s="83" t="str">
        <f t="shared" si="7"/>
        <v>Quý I</v>
      </c>
      <c r="AB20" s="80" t="str">
        <f t="shared" ref="AB20:AB51" si="10">IF(OR(G20="Facebook",G20="Hotline",G20="Zalo",G20="Website",G20="Walk in"),"MKT",G20)</f>
        <v>Reference</v>
      </c>
      <c r="AC20" s="7"/>
    </row>
    <row r="21" spans="1:29" x14ac:dyDescent="0.2">
      <c r="A21" s="7">
        <f t="shared" si="0"/>
        <v>20</v>
      </c>
      <c r="B21" s="7" t="str">
        <f>LEFT(C21,12)</f>
        <v>29B2C2601019</v>
      </c>
      <c r="C21" s="10" t="s">
        <v>111</v>
      </c>
      <c r="D21" s="31">
        <v>46051</v>
      </c>
      <c r="E21" s="29" t="s">
        <v>112</v>
      </c>
      <c r="F21" s="29" t="s">
        <v>40</v>
      </c>
      <c r="G21" s="7" t="s">
        <v>40</v>
      </c>
      <c r="H21" s="7"/>
      <c r="I21" s="7" t="s">
        <v>41</v>
      </c>
      <c r="J21" s="35">
        <f>+K21/1.08</f>
        <v>10694444.444444444</v>
      </c>
      <c r="K21" s="70">
        <v>11550000</v>
      </c>
      <c r="L21" s="70"/>
      <c r="M21" s="70">
        <f t="shared" si="1"/>
        <v>8555555.555555556</v>
      </c>
      <c r="N21" s="261">
        <v>0.2</v>
      </c>
      <c r="O21" s="37">
        <f t="shared" si="2"/>
        <v>2138888.888888889</v>
      </c>
      <c r="P21" s="13" t="s">
        <v>113</v>
      </c>
      <c r="Q21" s="7" t="str">
        <f>VLOOKUP('Data Doanh số'!P21,'DROPDOWNDATA-NOFILL'!$A$1:$B$40,2,FALSE)</f>
        <v>BU 1</v>
      </c>
      <c r="R21" s="7" t="s">
        <v>43</v>
      </c>
      <c r="S21" s="7" t="s">
        <v>44</v>
      </c>
      <c r="T21" s="7" t="s">
        <v>45</v>
      </c>
      <c r="U21" s="7" t="s">
        <v>65</v>
      </c>
      <c r="V21" s="31">
        <v>46049</v>
      </c>
      <c r="W21" s="8">
        <f t="shared" si="3"/>
        <v>2026</v>
      </c>
      <c r="X21" s="8">
        <f t="shared" si="4"/>
        <v>1</v>
      </c>
      <c r="Y21" s="83">
        <f t="shared" si="5"/>
        <v>29</v>
      </c>
      <c r="Z21" s="83" t="str">
        <f t="shared" si="6"/>
        <v>W5</v>
      </c>
      <c r="AA21" s="83" t="str">
        <f t="shared" si="7"/>
        <v>Quý I</v>
      </c>
      <c r="AB21" s="80" t="str">
        <f t="shared" si="10"/>
        <v>MKT</v>
      </c>
      <c r="AC21" s="7" t="s">
        <v>114</v>
      </c>
    </row>
    <row r="22" spans="1:29" x14ac:dyDescent="0.2">
      <c r="A22" s="7">
        <f t="shared" si="0"/>
        <v>21</v>
      </c>
      <c r="B22" s="7"/>
      <c r="C22" s="10" t="s">
        <v>115</v>
      </c>
      <c r="D22" s="31">
        <v>46053</v>
      </c>
      <c r="E22" s="12" t="s">
        <v>116</v>
      </c>
      <c r="F22" s="12" t="s">
        <v>117</v>
      </c>
      <c r="G22" s="12" t="s">
        <v>117</v>
      </c>
      <c r="H22" s="12"/>
      <c r="I22" s="7" t="s">
        <v>74</v>
      </c>
      <c r="J22" s="35">
        <f>+K22/1.08</f>
        <v>8238292.5925925924</v>
      </c>
      <c r="K22" s="35">
        <v>8897356</v>
      </c>
      <c r="L22" s="35"/>
      <c r="M22" s="35"/>
      <c r="N22" s="261"/>
      <c r="O22" s="37"/>
      <c r="P22" s="13" t="s">
        <v>118</v>
      </c>
      <c r="Q22" s="7" t="str">
        <f>VLOOKUP('Data Doanh số'!P22,'DROPDOWNDATA-NOFILL'!$A$1:$B$40,2,FALSE)</f>
        <v>TMĐT</v>
      </c>
      <c r="R22" s="12" t="s">
        <v>34</v>
      </c>
      <c r="S22" s="7" t="s">
        <v>44</v>
      </c>
      <c r="T22" s="7" t="s">
        <v>45</v>
      </c>
      <c r="U22" s="7" t="s">
        <v>65</v>
      </c>
      <c r="V22" s="31"/>
      <c r="W22" s="8">
        <f t="shared" si="3"/>
        <v>2026</v>
      </c>
      <c r="X22" s="8">
        <f t="shared" si="4"/>
        <v>1</v>
      </c>
      <c r="Y22" s="83">
        <f t="shared" si="5"/>
        <v>31</v>
      </c>
      <c r="Z22" s="83" t="str">
        <f t="shared" si="6"/>
        <v>W5</v>
      </c>
      <c r="AA22" s="83" t="str">
        <f t="shared" si="7"/>
        <v>Quý I</v>
      </c>
      <c r="AB22" s="80" t="str">
        <f t="shared" si="10"/>
        <v>TMĐT</v>
      </c>
      <c r="AC22" s="7"/>
    </row>
    <row r="23" spans="1:29" x14ac:dyDescent="0.2">
      <c r="A23" s="7">
        <f t="shared" si="0"/>
        <v>22</v>
      </c>
      <c r="B23" s="7" t="str">
        <f t="shared" ref="B23:B29" si="11">LEFT(C23,12)</f>
        <v>29B2C2512056</v>
      </c>
      <c r="C23" s="10" t="s">
        <v>119</v>
      </c>
      <c r="D23" s="31">
        <v>46055</v>
      </c>
      <c r="E23" s="12" t="s">
        <v>120</v>
      </c>
      <c r="F23" s="12" t="s">
        <v>40</v>
      </c>
      <c r="G23" s="7" t="s">
        <v>40</v>
      </c>
      <c r="H23" s="7"/>
      <c r="I23" s="7" t="s">
        <v>121</v>
      </c>
      <c r="J23" s="35">
        <v>92592593</v>
      </c>
      <c r="K23" s="70">
        <v>100000000</v>
      </c>
      <c r="L23" s="70"/>
      <c r="M23" s="70"/>
      <c r="N23" s="261"/>
      <c r="O23" s="37"/>
      <c r="P23" s="13" t="s">
        <v>71</v>
      </c>
      <c r="Q23" s="7" t="str">
        <f>VLOOKUP('Data Doanh số'!P23,'DROPDOWNDATA-NOFILL'!$A$1:$B$40,2,FALSE)</f>
        <v>BU 1</v>
      </c>
      <c r="R23" s="7" t="s">
        <v>60</v>
      </c>
      <c r="S23" s="7" t="s">
        <v>44</v>
      </c>
      <c r="T23" s="7" t="s">
        <v>45</v>
      </c>
      <c r="U23" s="7" t="s">
        <v>46</v>
      </c>
      <c r="V23" s="31">
        <v>45994</v>
      </c>
      <c r="W23" s="8">
        <f t="shared" si="3"/>
        <v>2026</v>
      </c>
      <c r="X23" s="8">
        <f t="shared" si="4"/>
        <v>2</v>
      </c>
      <c r="Y23" s="83">
        <f t="shared" si="5"/>
        <v>2</v>
      </c>
      <c r="Z23" s="83" t="str">
        <f t="shared" si="6"/>
        <v>W1</v>
      </c>
      <c r="AA23" s="83" t="str">
        <f t="shared" si="7"/>
        <v>Quý I</v>
      </c>
      <c r="AB23" s="80" t="str">
        <f t="shared" si="10"/>
        <v>MKT</v>
      </c>
      <c r="AC23" s="7"/>
    </row>
    <row r="24" spans="1:29" x14ac:dyDescent="0.2">
      <c r="A24" s="7">
        <f t="shared" si="0"/>
        <v>23</v>
      </c>
      <c r="B24" s="7" t="str">
        <f t="shared" si="11"/>
        <v>29B2B2602005</v>
      </c>
      <c r="C24" s="10" t="s">
        <v>122</v>
      </c>
      <c r="D24" s="31">
        <v>46055</v>
      </c>
      <c r="E24" s="12" t="s">
        <v>123</v>
      </c>
      <c r="F24" s="12" t="s">
        <v>79</v>
      </c>
      <c r="G24" s="7" t="s">
        <v>79</v>
      </c>
      <c r="H24" s="7"/>
      <c r="I24" s="7" t="s">
        <v>51</v>
      </c>
      <c r="J24" s="35">
        <v>19097222</v>
      </c>
      <c r="K24" s="70">
        <v>20625000</v>
      </c>
      <c r="L24" s="70"/>
      <c r="M24" s="70">
        <f>J24-J24*N24</f>
        <v>9548611</v>
      </c>
      <c r="N24" s="261">
        <v>0.5</v>
      </c>
      <c r="O24" s="37">
        <f>+N24*J24</f>
        <v>9548611</v>
      </c>
      <c r="P24" s="13" t="s">
        <v>71</v>
      </c>
      <c r="Q24" s="7" t="str">
        <f>VLOOKUP('Data Doanh số'!P24,'DROPDOWNDATA-NOFILL'!$A$1:$B$40,2,FALSE)</f>
        <v>BU 1</v>
      </c>
      <c r="R24" s="7" t="s">
        <v>43</v>
      </c>
      <c r="S24" s="7" t="s">
        <v>35</v>
      </c>
      <c r="T24" s="7" t="s">
        <v>45</v>
      </c>
      <c r="U24" s="7" t="s">
        <v>37</v>
      </c>
      <c r="V24" s="31">
        <v>46078</v>
      </c>
      <c r="W24" s="8">
        <f t="shared" si="3"/>
        <v>2026</v>
      </c>
      <c r="X24" s="8">
        <f t="shared" si="4"/>
        <v>2</v>
      </c>
      <c r="Y24" s="83">
        <f t="shared" si="5"/>
        <v>2</v>
      </c>
      <c r="Z24" s="83" t="str">
        <f t="shared" si="6"/>
        <v>W1</v>
      </c>
      <c r="AA24" s="83" t="str">
        <f t="shared" si="7"/>
        <v>Quý I</v>
      </c>
      <c r="AB24" s="80" t="str">
        <f t="shared" si="10"/>
        <v>Reference</v>
      </c>
      <c r="AC24" s="7"/>
    </row>
    <row r="25" spans="1:29" x14ac:dyDescent="0.2">
      <c r="A25" s="7">
        <f t="shared" si="0"/>
        <v>24</v>
      </c>
      <c r="B25" s="7" t="str">
        <f t="shared" si="11"/>
        <v>51B2C2602022</v>
      </c>
      <c r="C25" s="10" t="s">
        <v>124</v>
      </c>
      <c r="D25" s="31">
        <v>46058</v>
      </c>
      <c r="E25" s="12" t="s">
        <v>125</v>
      </c>
      <c r="F25" s="12" t="s">
        <v>98</v>
      </c>
      <c r="G25" s="7" t="s">
        <v>98</v>
      </c>
      <c r="H25" s="7"/>
      <c r="I25" s="7" t="s">
        <v>41</v>
      </c>
      <c r="J25" s="35">
        <f>+K25/1.08</f>
        <v>3666666.6666666665</v>
      </c>
      <c r="K25" s="35">
        <v>3960000</v>
      </c>
      <c r="L25" s="70"/>
      <c r="M25" s="70">
        <f>J25-J25*N25</f>
        <v>1833333.3333333333</v>
      </c>
      <c r="N25" s="261">
        <v>0.5</v>
      </c>
      <c r="O25" s="37">
        <f>+N25*J25</f>
        <v>1833333.3333333333</v>
      </c>
      <c r="P25" s="13" t="s">
        <v>126</v>
      </c>
      <c r="Q25" s="7" t="str">
        <f>VLOOKUP('Data Doanh số'!P25,'DROPDOWNDATA-NOFILL'!$A$1:$B$40,2,FALSE)</f>
        <v>BU HCM</v>
      </c>
      <c r="R25" s="7" t="s">
        <v>60</v>
      </c>
      <c r="S25" s="7" t="s">
        <v>44</v>
      </c>
      <c r="T25" s="7" t="s">
        <v>99</v>
      </c>
      <c r="U25" s="7" t="s">
        <v>65</v>
      </c>
      <c r="V25" s="31">
        <v>46050</v>
      </c>
      <c r="W25" s="8">
        <f t="shared" si="3"/>
        <v>2026</v>
      </c>
      <c r="X25" s="8">
        <f t="shared" si="4"/>
        <v>2</v>
      </c>
      <c r="Y25" s="83">
        <f t="shared" si="5"/>
        <v>5</v>
      </c>
      <c r="Z25" s="83" t="str">
        <f t="shared" si="6"/>
        <v>W1</v>
      </c>
      <c r="AA25" s="83" t="str">
        <f t="shared" si="7"/>
        <v>Quý I</v>
      </c>
      <c r="AB25" s="80" t="str">
        <f t="shared" si="10"/>
        <v>MKT</v>
      </c>
      <c r="AC25" s="7"/>
    </row>
    <row r="26" spans="1:29" x14ac:dyDescent="0.2">
      <c r="A26" s="7">
        <f t="shared" si="0"/>
        <v>25</v>
      </c>
      <c r="B26" s="7" t="str">
        <f t="shared" si="11"/>
        <v>29B2C2601010</v>
      </c>
      <c r="C26" s="10" t="s">
        <v>127</v>
      </c>
      <c r="D26" s="31">
        <v>46058</v>
      </c>
      <c r="E26" s="12" t="s">
        <v>128</v>
      </c>
      <c r="F26" s="12" t="s">
        <v>40</v>
      </c>
      <c r="G26" s="7" t="s">
        <v>40</v>
      </c>
      <c r="H26" s="7"/>
      <c r="I26" s="7" t="s">
        <v>41</v>
      </c>
      <c r="J26" s="35">
        <f>+K26/1.08</f>
        <v>35185185.185185187</v>
      </c>
      <c r="K26" s="70">
        <v>38000000</v>
      </c>
      <c r="L26" s="70"/>
      <c r="M26" s="70">
        <f>J26-J26*N26</f>
        <v>17592592.592592593</v>
      </c>
      <c r="N26" s="261">
        <v>0.5</v>
      </c>
      <c r="O26" s="37">
        <f>+N26*J26</f>
        <v>17592592.592592593</v>
      </c>
      <c r="P26" s="13" t="s">
        <v>59</v>
      </c>
      <c r="Q26" s="7" t="str">
        <f>VLOOKUP('Data Doanh số'!P26,'DROPDOWNDATA-NOFILL'!$A$1:$B$40,2,FALSE)</f>
        <v>BU 3</v>
      </c>
      <c r="R26" s="7" t="s">
        <v>43</v>
      </c>
      <c r="S26" s="7" t="s">
        <v>44</v>
      </c>
      <c r="T26" s="7" t="s">
        <v>45</v>
      </c>
      <c r="U26" s="7" t="s">
        <v>65</v>
      </c>
      <c r="V26" s="31">
        <v>46027</v>
      </c>
      <c r="W26" s="8">
        <f t="shared" si="3"/>
        <v>2026</v>
      </c>
      <c r="X26" s="8">
        <f t="shared" si="4"/>
        <v>2</v>
      </c>
      <c r="Y26" s="83">
        <f t="shared" si="5"/>
        <v>5</v>
      </c>
      <c r="Z26" s="83" t="str">
        <f t="shared" si="6"/>
        <v>W1</v>
      </c>
      <c r="AA26" s="83" t="str">
        <f t="shared" si="7"/>
        <v>Quý I</v>
      </c>
      <c r="AB26" s="80" t="str">
        <f t="shared" si="10"/>
        <v>MKT</v>
      </c>
      <c r="AC26" s="7"/>
    </row>
    <row r="27" spans="1:29" x14ac:dyDescent="0.2">
      <c r="A27" s="7">
        <f t="shared" si="0"/>
        <v>26</v>
      </c>
      <c r="B27" s="7" t="str">
        <f t="shared" si="11"/>
        <v>29B2C2601010</v>
      </c>
      <c r="C27" s="10" t="s">
        <v>129</v>
      </c>
      <c r="D27" s="31">
        <v>46058</v>
      </c>
      <c r="E27" s="12" t="s">
        <v>128</v>
      </c>
      <c r="F27" s="12" t="s">
        <v>40</v>
      </c>
      <c r="G27" s="7" t="s">
        <v>40</v>
      </c>
      <c r="H27" s="7"/>
      <c r="I27" s="7" t="s">
        <v>51</v>
      </c>
      <c r="J27" s="35">
        <f>+K27/1.08</f>
        <v>368849437.96296293</v>
      </c>
      <c r="K27" s="70">
        <v>398357393</v>
      </c>
      <c r="L27" s="70"/>
      <c r="M27" s="70">
        <f>J27-J27*N27</f>
        <v>313522022.26851851</v>
      </c>
      <c r="N27" s="261">
        <v>0.15</v>
      </c>
      <c r="O27" s="37">
        <f>+N27*J27</f>
        <v>55327415.69444444</v>
      </c>
      <c r="P27" s="13" t="s">
        <v>130</v>
      </c>
      <c r="Q27" s="7" t="str">
        <f>VLOOKUP('Data Doanh số'!P27,'DROPDOWNDATA-NOFILL'!$A$1:$B$40,2,FALSE)</f>
        <v>BU 3</v>
      </c>
      <c r="R27" s="7" t="s">
        <v>43</v>
      </c>
      <c r="S27" s="7" t="s">
        <v>44</v>
      </c>
      <c r="T27" s="7" t="s">
        <v>45</v>
      </c>
      <c r="U27" s="7" t="s">
        <v>65</v>
      </c>
      <c r="V27" s="31">
        <v>46027</v>
      </c>
      <c r="W27" s="8">
        <f t="shared" si="3"/>
        <v>2026</v>
      </c>
      <c r="X27" s="8">
        <f t="shared" si="4"/>
        <v>2</v>
      </c>
      <c r="Y27" s="83">
        <f t="shared" si="5"/>
        <v>5</v>
      </c>
      <c r="Z27" s="83" t="str">
        <f t="shared" si="6"/>
        <v>W1</v>
      </c>
      <c r="AA27" s="83" t="str">
        <f t="shared" si="7"/>
        <v>Quý I</v>
      </c>
      <c r="AB27" s="80" t="str">
        <f t="shared" si="10"/>
        <v>MKT</v>
      </c>
      <c r="AC27" s="7"/>
    </row>
    <row r="28" spans="1:29" x14ac:dyDescent="0.2">
      <c r="A28" s="7">
        <v>24</v>
      </c>
      <c r="B28" s="7" t="str">
        <f t="shared" si="11"/>
        <v>29B2C2602001</v>
      </c>
      <c r="C28" s="10" t="s">
        <v>131</v>
      </c>
      <c r="D28" s="31">
        <v>46058</v>
      </c>
      <c r="E28" s="12" t="s">
        <v>132</v>
      </c>
      <c r="F28" s="12" t="s">
        <v>133</v>
      </c>
      <c r="G28" s="12" t="s">
        <v>133</v>
      </c>
      <c r="H28" s="12"/>
      <c r="I28" s="7" t="s">
        <v>121</v>
      </c>
      <c r="J28" s="35">
        <f>K28/1.08</f>
        <v>1111111111.1111109</v>
      </c>
      <c r="K28" s="70">
        <v>1200000000</v>
      </c>
      <c r="L28" s="70"/>
      <c r="M28" s="70"/>
      <c r="N28" s="261"/>
      <c r="O28" s="37"/>
      <c r="P28" s="13" t="s">
        <v>59</v>
      </c>
      <c r="Q28" s="7" t="str">
        <f>VLOOKUP('Data Doanh số'!P28,'DROPDOWNDATA-NOFILL'!$A$1:$B$40,2,FALSE)</f>
        <v>BU 3</v>
      </c>
      <c r="R28" s="7" t="s">
        <v>43</v>
      </c>
      <c r="S28" s="7" t="s">
        <v>44</v>
      </c>
      <c r="T28" s="7" t="s">
        <v>45</v>
      </c>
      <c r="U28" s="7" t="s">
        <v>65</v>
      </c>
      <c r="V28" s="31">
        <v>45996</v>
      </c>
      <c r="W28" s="8">
        <f t="shared" si="3"/>
        <v>2026</v>
      </c>
      <c r="X28" s="8">
        <f t="shared" si="4"/>
        <v>2</v>
      </c>
      <c r="Y28" s="83">
        <f t="shared" si="5"/>
        <v>5</v>
      </c>
      <c r="Z28" s="83" t="str">
        <f t="shared" si="6"/>
        <v>W1</v>
      </c>
      <c r="AA28" s="83" t="str">
        <f t="shared" si="7"/>
        <v>Quý I</v>
      </c>
      <c r="AB28" s="80" t="str">
        <f t="shared" si="10"/>
        <v>Sale tự kiếm</v>
      </c>
      <c r="AC28" s="7"/>
    </row>
    <row r="29" spans="1:29" x14ac:dyDescent="0.2">
      <c r="A29" s="7">
        <f t="shared" ref="A29:A40" si="12">ROW(C29)-1</f>
        <v>28</v>
      </c>
      <c r="B29" s="7" t="str">
        <f t="shared" si="11"/>
        <v>51EAZ2602002</v>
      </c>
      <c r="C29" s="10" t="s">
        <v>134</v>
      </c>
      <c r="D29" s="31">
        <v>46059</v>
      </c>
      <c r="E29" s="12" t="s">
        <v>135</v>
      </c>
      <c r="F29" s="12" t="s">
        <v>40</v>
      </c>
      <c r="G29" s="7" t="s">
        <v>40</v>
      </c>
      <c r="H29" s="7"/>
      <c r="I29" s="7" t="s">
        <v>70</v>
      </c>
      <c r="J29" s="35">
        <v>7051852</v>
      </c>
      <c r="K29" s="70">
        <v>7616000</v>
      </c>
      <c r="L29" s="70"/>
      <c r="M29" s="70">
        <f>J29-J29*N29</f>
        <v>2115555.6000000006</v>
      </c>
      <c r="N29" s="261">
        <v>0.7</v>
      </c>
      <c r="O29" s="37">
        <f>+N29*J29</f>
        <v>4936296.3999999994</v>
      </c>
      <c r="P29" s="13" t="s">
        <v>71</v>
      </c>
      <c r="Q29" s="7" t="str">
        <f>VLOOKUP('Data Doanh số'!P29,'DROPDOWNDATA-NOFILL'!$A$1:$B$40,2,FALSE)</f>
        <v>BU 1</v>
      </c>
      <c r="R29" s="7" t="s">
        <v>60</v>
      </c>
      <c r="S29" s="7" t="s">
        <v>44</v>
      </c>
      <c r="T29" s="7" t="s">
        <v>99</v>
      </c>
      <c r="U29" s="7" t="s">
        <v>65</v>
      </c>
      <c r="V29" s="31"/>
      <c r="W29" s="8">
        <f t="shared" si="3"/>
        <v>2026</v>
      </c>
      <c r="X29" s="8">
        <f t="shared" si="4"/>
        <v>2</v>
      </c>
      <c r="Y29" s="83">
        <f t="shared" si="5"/>
        <v>6</v>
      </c>
      <c r="Z29" s="83" t="str">
        <f t="shared" si="6"/>
        <v>W1</v>
      </c>
      <c r="AA29" s="83" t="str">
        <f t="shared" si="7"/>
        <v>Quý I</v>
      </c>
      <c r="AB29" s="80" t="str">
        <f t="shared" si="10"/>
        <v>MKT</v>
      </c>
      <c r="AC29" s="7"/>
    </row>
    <row r="30" spans="1:29" x14ac:dyDescent="0.2">
      <c r="A30" s="7">
        <f t="shared" si="12"/>
        <v>29</v>
      </c>
      <c r="B30" s="7"/>
      <c r="C30" s="10" t="s">
        <v>136</v>
      </c>
      <c r="D30" s="31">
        <v>46060</v>
      </c>
      <c r="E30" s="12" t="s">
        <v>137</v>
      </c>
      <c r="F30" s="12" t="s">
        <v>117</v>
      </c>
      <c r="G30" s="12" t="s">
        <v>117</v>
      </c>
      <c r="H30" s="12"/>
      <c r="I30" s="7" t="s">
        <v>74</v>
      </c>
      <c r="J30" s="35">
        <f>K30/1.08</f>
        <v>54092073.148148142</v>
      </c>
      <c r="K30" s="70">
        <v>58419439</v>
      </c>
      <c r="L30" s="70"/>
      <c r="M30" s="70"/>
      <c r="N30" s="261"/>
      <c r="O30" s="37"/>
      <c r="P30" s="13" t="s">
        <v>118</v>
      </c>
      <c r="Q30" s="7" t="str">
        <f>VLOOKUP('Data Doanh số'!P30,'DROPDOWNDATA-NOFILL'!$A$1:$B$40,2,FALSE)</f>
        <v>TMĐT</v>
      </c>
      <c r="R30" s="12" t="s">
        <v>34</v>
      </c>
      <c r="S30" s="7" t="s">
        <v>44</v>
      </c>
      <c r="T30" s="7" t="s">
        <v>45</v>
      </c>
      <c r="U30" s="7" t="s">
        <v>65</v>
      </c>
      <c r="V30" s="31"/>
      <c r="W30" s="8">
        <f t="shared" si="3"/>
        <v>2026</v>
      </c>
      <c r="X30" s="8">
        <f t="shared" si="4"/>
        <v>2</v>
      </c>
      <c r="Y30" s="83">
        <f t="shared" si="5"/>
        <v>7</v>
      </c>
      <c r="Z30" s="83" t="str">
        <f t="shared" si="6"/>
        <v>W1</v>
      </c>
      <c r="AA30" s="83" t="str">
        <f t="shared" si="7"/>
        <v>Quý I</v>
      </c>
      <c r="AB30" s="80" t="str">
        <f t="shared" si="10"/>
        <v>TMĐT</v>
      </c>
      <c r="AC30" s="7"/>
    </row>
    <row r="31" spans="1:29" x14ac:dyDescent="0.2">
      <c r="A31" s="7">
        <f t="shared" si="12"/>
        <v>30</v>
      </c>
      <c r="B31" s="7" t="str">
        <f t="shared" ref="B31:B47" si="13">LEFT(C31,12)</f>
        <v>89B2C2601009</v>
      </c>
      <c r="C31" s="10" t="s">
        <v>138</v>
      </c>
      <c r="D31" s="31">
        <v>46062</v>
      </c>
      <c r="E31" s="12" t="s">
        <v>139</v>
      </c>
      <c r="F31" s="12" t="s">
        <v>40</v>
      </c>
      <c r="G31" s="7" t="s">
        <v>40</v>
      </c>
      <c r="H31" s="7"/>
      <c r="I31" s="7" t="s">
        <v>41</v>
      </c>
      <c r="J31" s="35">
        <v>109662037</v>
      </c>
      <c r="K31" s="70">
        <v>118435000</v>
      </c>
      <c r="L31" s="70"/>
      <c r="M31" s="70">
        <f>J31-J31*N31</f>
        <v>83343148.120000005</v>
      </c>
      <c r="N31" s="261">
        <v>0.24</v>
      </c>
      <c r="O31" s="37">
        <f>+N31*J31</f>
        <v>26318888.879999999</v>
      </c>
      <c r="P31" s="13" t="s">
        <v>140</v>
      </c>
      <c r="Q31" s="7" t="str">
        <f>VLOOKUP('Data Doanh số'!P31,'DROPDOWNDATA-NOFILL'!$A$1:$B$40,2,FALSE)</f>
        <v>BU 1</v>
      </c>
      <c r="R31" s="7" t="s">
        <v>34</v>
      </c>
      <c r="S31" s="7" t="s">
        <v>44</v>
      </c>
      <c r="T31" s="7" t="s">
        <v>141</v>
      </c>
      <c r="U31" s="7" t="s">
        <v>46</v>
      </c>
      <c r="V31" s="31">
        <v>45971</v>
      </c>
      <c r="W31" s="8">
        <f t="shared" si="3"/>
        <v>2026</v>
      </c>
      <c r="X31" s="8">
        <f t="shared" si="4"/>
        <v>2</v>
      </c>
      <c r="Y31" s="83">
        <f t="shared" si="5"/>
        <v>9</v>
      </c>
      <c r="Z31" s="83" t="str">
        <f t="shared" si="6"/>
        <v>W2</v>
      </c>
      <c r="AA31" s="83" t="str">
        <f t="shared" si="7"/>
        <v>Quý I</v>
      </c>
      <c r="AB31" s="80" t="str">
        <f t="shared" si="10"/>
        <v>MKT</v>
      </c>
      <c r="AC31" s="7"/>
    </row>
    <row r="32" spans="1:29" x14ac:dyDescent="0.2">
      <c r="A32" s="7">
        <f t="shared" si="12"/>
        <v>31</v>
      </c>
      <c r="B32" s="7" t="str">
        <f t="shared" si="13"/>
        <v>29B2C2601020</v>
      </c>
      <c r="C32" s="10" t="s">
        <v>142</v>
      </c>
      <c r="D32" s="31">
        <v>46062</v>
      </c>
      <c r="E32" s="12" t="s">
        <v>143</v>
      </c>
      <c r="F32" s="12" t="s">
        <v>40</v>
      </c>
      <c r="G32" s="7" t="s">
        <v>40</v>
      </c>
      <c r="H32" s="7"/>
      <c r="I32" s="7" t="s">
        <v>121</v>
      </c>
      <c r="J32" s="35">
        <v>92592593</v>
      </c>
      <c r="K32" s="70">
        <v>100000000</v>
      </c>
      <c r="L32" s="70"/>
      <c r="M32" s="70"/>
      <c r="N32" s="261"/>
      <c r="O32" s="37"/>
      <c r="P32" s="13" t="s">
        <v>59</v>
      </c>
      <c r="Q32" s="7" t="str">
        <f>VLOOKUP('Data Doanh số'!P32,'DROPDOWNDATA-NOFILL'!$A$1:$B$40,2,FALSE)</f>
        <v>BU 3</v>
      </c>
      <c r="R32" s="13" t="s">
        <v>43</v>
      </c>
      <c r="S32" s="13" t="s">
        <v>44</v>
      </c>
      <c r="T32" s="13" t="s">
        <v>45</v>
      </c>
      <c r="U32" s="13" t="s">
        <v>46</v>
      </c>
      <c r="V32" s="31">
        <v>46048</v>
      </c>
      <c r="W32" s="8">
        <f t="shared" si="3"/>
        <v>2026</v>
      </c>
      <c r="X32" s="8">
        <f t="shared" si="4"/>
        <v>2</v>
      </c>
      <c r="Y32" s="83">
        <f t="shared" si="5"/>
        <v>9</v>
      </c>
      <c r="Z32" s="83" t="str">
        <f t="shared" si="6"/>
        <v>W2</v>
      </c>
      <c r="AA32" s="83" t="str">
        <f t="shared" si="7"/>
        <v>Quý I</v>
      </c>
      <c r="AB32" s="80" t="str">
        <f t="shared" si="10"/>
        <v>MKT</v>
      </c>
      <c r="AC32" s="7"/>
    </row>
    <row r="33" spans="1:29" x14ac:dyDescent="0.2">
      <c r="A33" s="7">
        <f t="shared" si="12"/>
        <v>32</v>
      </c>
      <c r="B33" s="7" t="str">
        <f t="shared" si="13"/>
        <v>51B2C2601021</v>
      </c>
      <c r="C33" s="10" t="s">
        <v>144</v>
      </c>
      <c r="D33" s="31">
        <v>46064</v>
      </c>
      <c r="E33" s="12" t="s">
        <v>145</v>
      </c>
      <c r="F33" s="12" t="s">
        <v>146</v>
      </c>
      <c r="G33" s="7" t="s">
        <v>31</v>
      </c>
      <c r="H33" s="7"/>
      <c r="I33" s="7" t="s">
        <v>51</v>
      </c>
      <c r="J33" s="35">
        <v>71395400</v>
      </c>
      <c r="K33" s="70">
        <v>77107032</v>
      </c>
      <c r="L33" s="70"/>
      <c r="M33" s="70">
        <f t="shared" ref="M33:M39" si="14">J33-J33*N33</f>
        <v>57116320</v>
      </c>
      <c r="N33" s="261">
        <v>0.2</v>
      </c>
      <c r="O33" s="37">
        <f t="shared" ref="O33:O39" si="15">+N33*J33</f>
        <v>14279080</v>
      </c>
      <c r="P33" s="13" t="s">
        <v>80</v>
      </c>
      <c r="Q33" s="7" t="str">
        <f>VLOOKUP('Data Doanh số'!P33,'DROPDOWNDATA-NOFILL'!$A$1:$B$40,2,FALSE)</f>
        <v>BU HCM</v>
      </c>
      <c r="R33" s="7" t="s">
        <v>60</v>
      </c>
      <c r="S33" s="7" t="s">
        <v>44</v>
      </c>
      <c r="T33" s="7" t="s">
        <v>99</v>
      </c>
      <c r="U33" s="7" t="s">
        <v>46</v>
      </c>
      <c r="V33" s="31">
        <v>46047</v>
      </c>
      <c r="W33" s="8">
        <f t="shared" si="3"/>
        <v>2026</v>
      </c>
      <c r="X33" s="8">
        <f t="shared" si="4"/>
        <v>2</v>
      </c>
      <c r="Y33" s="83">
        <f t="shared" si="5"/>
        <v>11</v>
      </c>
      <c r="Z33" s="83" t="str">
        <f t="shared" si="6"/>
        <v>W2</v>
      </c>
      <c r="AA33" s="83" t="str">
        <f t="shared" si="7"/>
        <v>Quý I</v>
      </c>
      <c r="AB33" s="80" t="str">
        <f t="shared" si="10"/>
        <v>Customer</v>
      </c>
      <c r="AC33" s="7"/>
    </row>
    <row r="34" spans="1:29" x14ac:dyDescent="0.2">
      <c r="A34" s="7">
        <f t="shared" si="12"/>
        <v>33</v>
      </c>
      <c r="B34" s="7" t="str">
        <f t="shared" si="13"/>
        <v>29B2C2602010</v>
      </c>
      <c r="C34" s="10" t="s">
        <v>147</v>
      </c>
      <c r="D34" s="31">
        <v>46077</v>
      </c>
      <c r="E34" s="12" t="s">
        <v>148</v>
      </c>
      <c r="F34" s="12" t="s">
        <v>40</v>
      </c>
      <c r="G34" s="7" t="s">
        <v>40</v>
      </c>
      <c r="H34" s="7"/>
      <c r="I34" s="7" t="s">
        <v>41</v>
      </c>
      <c r="J34" s="35">
        <f>+K34/1.08</f>
        <v>3703703.7037037034</v>
      </c>
      <c r="K34" s="70">
        <v>4000000</v>
      </c>
      <c r="L34" s="70"/>
      <c r="M34" s="70">
        <f t="shared" si="14"/>
        <v>1481481.4814814813</v>
      </c>
      <c r="N34" s="261">
        <v>0.6</v>
      </c>
      <c r="O34" s="37">
        <f t="shared" si="15"/>
        <v>2222222.222222222</v>
      </c>
      <c r="P34" s="13" t="s">
        <v>42</v>
      </c>
      <c r="Q34" s="7" t="str">
        <f>VLOOKUP('Data Doanh số'!P34,'DROPDOWNDATA-NOFILL'!$A$1:$B$40,2,FALSE)</f>
        <v>BU 1</v>
      </c>
      <c r="R34" s="7" t="s">
        <v>60</v>
      </c>
      <c r="S34" s="7" t="s">
        <v>44</v>
      </c>
      <c r="T34" s="7" t="s">
        <v>45</v>
      </c>
      <c r="U34" s="7" t="s">
        <v>65</v>
      </c>
      <c r="V34" s="31">
        <v>46024</v>
      </c>
      <c r="W34" s="8">
        <f t="shared" ref="W34:W68" si="16">YEAR(D34)</f>
        <v>2026</v>
      </c>
      <c r="X34" s="8">
        <f t="shared" ref="X34:X68" si="17">MONTH(D34)</f>
        <v>2</v>
      </c>
      <c r="Y34" s="83">
        <f t="shared" ref="Y34:Y65" si="18">DAY(D34)</f>
        <v>24</v>
      </c>
      <c r="Z34" s="83" t="str">
        <f t="shared" ref="Z34:Z65" si="19">"W"&amp;WEEKNUM(D34)-WEEKNUM(EOMONTH(D34,-1)+1)+1</f>
        <v>W4</v>
      </c>
      <c r="AA34" s="83" t="str">
        <f t="shared" ref="AA34:AA68" si="20">"Quý "&amp;ROMAN(ROUNDUP(X34/3,0))</f>
        <v>Quý I</v>
      </c>
      <c r="AB34" s="80" t="str">
        <f t="shared" si="10"/>
        <v>MKT</v>
      </c>
      <c r="AC34" s="7"/>
    </row>
    <row r="35" spans="1:29" x14ac:dyDescent="0.2">
      <c r="A35" s="7">
        <f t="shared" si="12"/>
        <v>34</v>
      </c>
      <c r="B35" s="7" t="str">
        <f t="shared" si="13"/>
        <v>29B2C2602010</v>
      </c>
      <c r="C35" s="10" t="s">
        <v>149</v>
      </c>
      <c r="D35" s="31">
        <v>46077</v>
      </c>
      <c r="E35" s="12" t="s">
        <v>150</v>
      </c>
      <c r="F35" s="12" t="s">
        <v>40</v>
      </c>
      <c r="G35" s="7" t="s">
        <v>40</v>
      </c>
      <c r="H35" s="7"/>
      <c r="I35" s="7" t="s">
        <v>51</v>
      </c>
      <c r="J35" s="35">
        <v>73240740.740740731</v>
      </c>
      <c r="K35" s="70">
        <v>79100000</v>
      </c>
      <c r="L35" s="70"/>
      <c r="M35" s="70">
        <f t="shared" si="14"/>
        <v>53465740.740740731</v>
      </c>
      <c r="N35" s="261">
        <v>0.27</v>
      </c>
      <c r="O35" s="37">
        <f t="shared" si="15"/>
        <v>19775000</v>
      </c>
      <c r="P35" s="13" t="s">
        <v>42</v>
      </c>
      <c r="Q35" s="7" t="str">
        <f>VLOOKUP('Data Doanh số'!P35,'DROPDOWNDATA-NOFILL'!$A$1:$B$40,2,FALSE)</f>
        <v>BU 1</v>
      </c>
      <c r="R35" s="7" t="s">
        <v>60</v>
      </c>
      <c r="S35" s="7" t="s">
        <v>44</v>
      </c>
      <c r="T35" s="7" t="s">
        <v>45</v>
      </c>
      <c r="U35" s="7" t="s">
        <v>65</v>
      </c>
      <c r="V35" s="31">
        <v>46024</v>
      </c>
      <c r="W35" s="8">
        <f t="shared" si="16"/>
        <v>2026</v>
      </c>
      <c r="X35" s="8">
        <f t="shared" si="17"/>
        <v>2</v>
      </c>
      <c r="Y35" s="83">
        <f t="shared" si="18"/>
        <v>24</v>
      </c>
      <c r="Z35" s="83" t="str">
        <f t="shared" si="19"/>
        <v>W4</v>
      </c>
      <c r="AA35" s="83" t="str">
        <f t="shared" si="20"/>
        <v>Quý I</v>
      </c>
      <c r="AB35" s="80" t="str">
        <f t="shared" si="10"/>
        <v>MKT</v>
      </c>
      <c r="AC35" s="7"/>
    </row>
    <row r="36" spans="1:29" x14ac:dyDescent="0.2">
      <c r="A36" s="7">
        <f t="shared" si="12"/>
        <v>35</v>
      </c>
      <c r="B36" s="7" t="str">
        <f t="shared" si="13"/>
        <v>29B2C2601014</v>
      </c>
      <c r="C36" s="10" t="s">
        <v>151</v>
      </c>
      <c r="D36" s="31">
        <v>46078</v>
      </c>
      <c r="E36" s="12" t="s">
        <v>152</v>
      </c>
      <c r="F36" s="12" t="s">
        <v>40</v>
      </c>
      <c r="G36" s="7" t="s">
        <v>40</v>
      </c>
      <c r="H36" s="7"/>
      <c r="I36" s="7" t="s">
        <v>41</v>
      </c>
      <c r="J36" s="35">
        <f>+K36/1.08</f>
        <v>6111111.111111111</v>
      </c>
      <c r="K36" s="70">
        <v>6600000</v>
      </c>
      <c r="L36" s="70"/>
      <c r="M36" s="70">
        <f t="shared" si="14"/>
        <v>2444444.4444444445</v>
      </c>
      <c r="N36" s="261">
        <v>0.6</v>
      </c>
      <c r="O36" s="37">
        <f t="shared" si="15"/>
        <v>3666666.6666666665</v>
      </c>
      <c r="P36" s="13" t="s">
        <v>153</v>
      </c>
      <c r="Q36" s="7" t="str">
        <f>VLOOKUP('Data Doanh số'!P36,'DROPDOWNDATA-NOFILL'!$A$1:$B$40,2,FALSE)</f>
        <v>BU 2</v>
      </c>
      <c r="R36" s="7" t="s">
        <v>34</v>
      </c>
      <c r="S36" s="7" t="s">
        <v>44</v>
      </c>
      <c r="T36" s="7" t="s">
        <v>141</v>
      </c>
      <c r="U36" s="7" t="s">
        <v>65</v>
      </c>
      <c r="V36" s="31">
        <v>46041</v>
      </c>
      <c r="W36" s="8">
        <f t="shared" si="16"/>
        <v>2026</v>
      </c>
      <c r="X36" s="8">
        <f t="shared" si="17"/>
        <v>2</v>
      </c>
      <c r="Y36" s="83">
        <f t="shared" si="18"/>
        <v>25</v>
      </c>
      <c r="Z36" s="83" t="str">
        <f t="shared" si="19"/>
        <v>W4</v>
      </c>
      <c r="AA36" s="83" t="str">
        <f t="shared" si="20"/>
        <v>Quý I</v>
      </c>
      <c r="AB36" s="80" t="str">
        <f t="shared" si="10"/>
        <v>MKT</v>
      </c>
      <c r="AC36" s="7"/>
    </row>
    <row r="37" spans="1:29" x14ac:dyDescent="0.2">
      <c r="A37" s="7">
        <f t="shared" si="12"/>
        <v>36</v>
      </c>
      <c r="B37" s="7" t="str">
        <f t="shared" si="13"/>
        <v>29B2C2601014</v>
      </c>
      <c r="C37" s="10" t="s">
        <v>154</v>
      </c>
      <c r="D37" s="31">
        <v>46078</v>
      </c>
      <c r="E37" s="12" t="s">
        <v>155</v>
      </c>
      <c r="F37" s="12" t="s">
        <v>40</v>
      </c>
      <c r="G37" s="7" t="s">
        <v>40</v>
      </c>
      <c r="H37" s="7"/>
      <c r="I37" s="7" t="s">
        <v>51</v>
      </c>
      <c r="J37" s="35">
        <f>+K37/1.08</f>
        <v>53205178.703703701</v>
      </c>
      <c r="K37" s="70">
        <v>57461593</v>
      </c>
      <c r="L37" s="70"/>
      <c r="M37" s="70">
        <f t="shared" si="14"/>
        <v>37243625.09259259</v>
      </c>
      <c r="N37" s="261">
        <v>0.3</v>
      </c>
      <c r="O37" s="37">
        <f t="shared" si="15"/>
        <v>15961553.61111111</v>
      </c>
      <c r="P37" s="13" t="s">
        <v>153</v>
      </c>
      <c r="Q37" s="7" t="str">
        <f>VLOOKUP('Data Doanh số'!P37,'DROPDOWNDATA-NOFILL'!$A$1:$B$40,2,FALSE)</f>
        <v>BU 2</v>
      </c>
      <c r="R37" s="21" t="s">
        <v>34</v>
      </c>
      <c r="S37" s="21" t="s">
        <v>44</v>
      </c>
      <c r="T37" s="21" t="s">
        <v>141</v>
      </c>
      <c r="U37" s="21" t="s">
        <v>65</v>
      </c>
      <c r="V37" s="31">
        <v>46041</v>
      </c>
      <c r="W37" s="8">
        <f t="shared" si="16"/>
        <v>2026</v>
      </c>
      <c r="X37" s="8">
        <f t="shared" si="17"/>
        <v>2</v>
      </c>
      <c r="Y37" s="83">
        <f t="shared" si="18"/>
        <v>25</v>
      </c>
      <c r="Z37" s="83" t="str">
        <f t="shared" si="19"/>
        <v>W4</v>
      </c>
      <c r="AA37" s="83" t="str">
        <f t="shared" si="20"/>
        <v>Quý I</v>
      </c>
      <c r="AB37" s="80" t="str">
        <f t="shared" si="10"/>
        <v>MKT</v>
      </c>
      <c r="AC37" s="7"/>
    </row>
    <row r="38" spans="1:29" x14ac:dyDescent="0.2">
      <c r="A38" s="7">
        <f t="shared" si="12"/>
        <v>37</v>
      </c>
      <c r="B38" s="7" t="str">
        <f t="shared" si="13"/>
        <v>29B2B2602003</v>
      </c>
      <c r="C38" s="10" t="s">
        <v>156</v>
      </c>
      <c r="D38" s="31">
        <v>46080</v>
      </c>
      <c r="E38" s="12" t="s">
        <v>157</v>
      </c>
      <c r="F38" s="12" t="s">
        <v>40</v>
      </c>
      <c r="G38" s="7" t="s">
        <v>40</v>
      </c>
      <c r="H38" s="7"/>
      <c r="I38" s="7" t="s">
        <v>41</v>
      </c>
      <c r="J38" s="35">
        <f>+K38/1.08</f>
        <v>2777777.7777777775</v>
      </c>
      <c r="K38" s="70">
        <v>3000000</v>
      </c>
      <c r="L38" s="70"/>
      <c r="M38" s="70">
        <f t="shared" si="14"/>
        <v>1111111.111111111</v>
      </c>
      <c r="N38" s="261">
        <v>0.6</v>
      </c>
      <c r="O38" s="37">
        <f t="shared" si="15"/>
        <v>1666666.6666666665</v>
      </c>
      <c r="P38" s="13" t="s">
        <v>113</v>
      </c>
      <c r="Q38" s="7" t="str">
        <f>VLOOKUP('Data Doanh số'!P38,'DROPDOWNDATA-NOFILL'!$A$1:$B$40,2,FALSE)</f>
        <v>BU 1</v>
      </c>
      <c r="R38" s="7" t="s">
        <v>34</v>
      </c>
      <c r="S38" s="7" t="s">
        <v>35</v>
      </c>
      <c r="T38" s="7" t="s">
        <v>45</v>
      </c>
      <c r="U38" s="7" t="s">
        <v>65</v>
      </c>
      <c r="V38" s="123">
        <v>46046</v>
      </c>
      <c r="W38" s="8">
        <f t="shared" si="16"/>
        <v>2026</v>
      </c>
      <c r="X38" s="8">
        <f t="shared" si="17"/>
        <v>2</v>
      </c>
      <c r="Y38" s="83">
        <f t="shared" si="18"/>
        <v>27</v>
      </c>
      <c r="Z38" s="83" t="str">
        <f t="shared" si="19"/>
        <v>W4</v>
      </c>
      <c r="AA38" s="83" t="str">
        <f t="shared" si="20"/>
        <v>Quý I</v>
      </c>
      <c r="AB38" s="80" t="str">
        <f t="shared" si="10"/>
        <v>MKT</v>
      </c>
      <c r="AC38" s="7"/>
    </row>
    <row r="39" spans="1:29" x14ac:dyDescent="0.2">
      <c r="A39" s="7">
        <f t="shared" si="12"/>
        <v>38</v>
      </c>
      <c r="B39" s="7" t="str">
        <f t="shared" si="13"/>
        <v>29B2B2602003</v>
      </c>
      <c r="C39" s="10" t="s">
        <v>158</v>
      </c>
      <c r="D39" s="31">
        <v>46080</v>
      </c>
      <c r="E39" s="12" t="s">
        <v>159</v>
      </c>
      <c r="F39" s="12" t="s">
        <v>40</v>
      </c>
      <c r="G39" s="7" t="s">
        <v>40</v>
      </c>
      <c r="H39" s="7"/>
      <c r="I39" s="7" t="s">
        <v>51</v>
      </c>
      <c r="J39" s="35">
        <f>+K39/1.08</f>
        <v>28240740.740740739</v>
      </c>
      <c r="K39" s="70">
        <v>30500000</v>
      </c>
      <c r="L39" s="70"/>
      <c r="M39" s="70">
        <f t="shared" si="14"/>
        <v>22027777.777777776</v>
      </c>
      <c r="N39" s="261">
        <v>0.22</v>
      </c>
      <c r="O39" s="37">
        <f t="shared" si="15"/>
        <v>6212962.9629629627</v>
      </c>
      <c r="P39" s="13" t="s">
        <v>113</v>
      </c>
      <c r="Q39" s="7" t="str">
        <f>VLOOKUP('Data Doanh số'!P39,'DROPDOWNDATA-NOFILL'!$A$1:$B$40,2,FALSE)</f>
        <v>BU 1</v>
      </c>
      <c r="R39" s="7" t="s">
        <v>34</v>
      </c>
      <c r="S39" s="7" t="s">
        <v>35</v>
      </c>
      <c r="T39" s="7" t="s">
        <v>45</v>
      </c>
      <c r="U39" s="7" t="s">
        <v>65</v>
      </c>
      <c r="V39" s="123">
        <v>46047</v>
      </c>
      <c r="W39" s="8">
        <f t="shared" si="16"/>
        <v>2026</v>
      </c>
      <c r="X39" s="8">
        <f t="shared" si="17"/>
        <v>2</v>
      </c>
      <c r="Y39" s="83">
        <f t="shared" si="18"/>
        <v>27</v>
      </c>
      <c r="Z39" s="83" t="str">
        <f t="shared" si="19"/>
        <v>W4</v>
      </c>
      <c r="AA39" s="83" t="str">
        <f t="shared" si="20"/>
        <v>Quý I</v>
      </c>
      <c r="AB39" s="80" t="str">
        <f t="shared" si="10"/>
        <v>MKT</v>
      </c>
      <c r="AC39" s="7"/>
    </row>
    <row r="40" spans="1:29" x14ac:dyDescent="0.2">
      <c r="A40" s="7">
        <f t="shared" si="12"/>
        <v>39</v>
      </c>
      <c r="B40" s="7" t="str">
        <f t="shared" si="13"/>
        <v>29B2B2602011</v>
      </c>
      <c r="C40" s="10" t="s">
        <v>160</v>
      </c>
      <c r="D40" s="31">
        <v>46080</v>
      </c>
      <c r="E40" s="12" t="s">
        <v>161</v>
      </c>
      <c r="F40" s="12" t="s">
        <v>40</v>
      </c>
      <c r="G40" s="7" t="s">
        <v>40</v>
      </c>
      <c r="H40" s="7"/>
      <c r="I40" s="7" t="s">
        <v>121</v>
      </c>
      <c r="J40" s="35">
        <v>277777778</v>
      </c>
      <c r="K40" s="70">
        <v>300000000</v>
      </c>
      <c r="L40" s="70"/>
      <c r="M40" s="70"/>
      <c r="N40" s="261"/>
      <c r="O40" s="37"/>
      <c r="P40" s="13" t="s">
        <v>87</v>
      </c>
      <c r="Q40" s="7" t="str">
        <f>VLOOKUP('Data Doanh số'!P40,'DROPDOWNDATA-NOFILL'!$A$1:$B$40,2,FALSE)</f>
        <v>BU 1</v>
      </c>
      <c r="R40" s="7" t="s">
        <v>60</v>
      </c>
      <c r="S40" s="7" t="s">
        <v>44</v>
      </c>
      <c r="T40" s="7" t="s">
        <v>162</v>
      </c>
      <c r="U40" s="7" t="s">
        <v>46</v>
      </c>
      <c r="V40" s="123">
        <v>46051</v>
      </c>
      <c r="W40" s="8">
        <f t="shared" si="16"/>
        <v>2026</v>
      </c>
      <c r="X40" s="8">
        <f t="shared" si="17"/>
        <v>2</v>
      </c>
      <c r="Y40" s="83">
        <f t="shared" si="18"/>
        <v>27</v>
      </c>
      <c r="Z40" s="83" t="str">
        <f t="shared" si="19"/>
        <v>W4</v>
      </c>
      <c r="AA40" s="83" t="str">
        <f t="shared" si="20"/>
        <v>Quý I</v>
      </c>
      <c r="AB40" s="80" t="str">
        <f t="shared" si="10"/>
        <v>MKT</v>
      </c>
      <c r="AC40" s="7"/>
    </row>
    <row r="41" spans="1:29" x14ac:dyDescent="0.2">
      <c r="A41" s="7"/>
      <c r="B41" s="7" t="str">
        <f t="shared" si="13"/>
        <v>29B2C2602004</v>
      </c>
      <c r="C41" s="10" t="s">
        <v>163</v>
      </c>
      <c r="D41" s="31">
        <v>46080</v>
      </c>
      <c r="E41" s="12" t="s">
        <v>164</v>
      </c>
      <c r="F41" s="12" t="s">
        <v>165</v>
      </c>
      <c r="G41" s="7" t="s">
        <v>165</v>
      </c>
      <c r="H41" s="7"/>
      <c r="I41" s="7" t="s">
        <v>41</v>
      </c>
      <c r="J41" s="35">
        <f>+K41/1.08</f>
        <v>8333333.333333333</v>
      </c>
      <c r="K41" s="70">
        <v>9000000</v>
      </c>
      <c r="L41" s="70"/>
      <c r="M41" s="70">
        <f t="shared" ref="M41:M47" si="21">J41-J41*N41</f>
        <v>3333333.333333333</v>
      </c>
      <c r="N41" s="261">
        <v>0.6</v>
      </c>
      <c r="O41" s="37">
        <f t="shared" ref="O41:O47" si="22">+N41*J41</f>
        <v>5000000</v>
      </c>
      <c r="P41" s="13" t="s">
        <v>153</v>
      </c>
      <c r="Q41" s="7" t="str">
        <f>VLOOKUP('Data Doanh số'!P41,'DROPDOWNDATA-NOFILL'!$A$1:$B$40,2,FALSE)</f>
        <v>BU 2</v>
      </c>
      <c r="R41" s="7" t="s">
        <v>34</v>
      </c>
      <c r="S41" s="7" t="s">
        <v>44</v>
      </c>
      <c r="T41" s="7" t="s">
        <v>45</v>
      </c>
      <c r="U41" s="7" t="s">
        <v>65</v>
      </c>
      <c r="V41" s="123">
        <v>46016</v>
      </c>
      <c r="W41" s="8">
        <f t="shared" si="16"/>
        <v>2026</v>
      </c>
      <c r="X41" s="8">
        <f t="shared" si="17"/>
        <v>2</v>
      </c>
      <c r="Y41" s="83">
        <f t="shared" si="18"/>
        <v>27</v>
      </c>
      <c r="Z41" s="83" t="str">
        <f t="shared" si="19"/>
        <v>W4</v>
      </c>
      <c r="AA41" s="83" t="str">
        <f t="shared" si="20"/>
        <v>Quý I</v>
      </c>
      <c r="AB41" s="80" t="str">
        <f t="shared" si="10"/>
        <v>MKT</v>
      </c>
      <c r="AC41" s="7"/>
    </row>
    <row r="42" spans="1:29" x14ac:dyDescent="0.2">
      <c r="A42" s="7">
        <f t="shared" ref="A42:A73" si="23">ROW(C42)-1</f>
        <v>41</v>
      </c>
      <c r="B42" s="7" t="str">
        <f t="shared" si="13"/>
        <v>29B2C2602004</v>
      </c>
      <c r="C42" s="10" t="s">
        <v>166</v>
      </c>
      <c r="D42" s="31">
        <v>46080</v>
      </c>
      <c r="E42" s="12" t="s">
        <v>167</v>
      </c>
      <c r="F42" s="12" t="s">
        <v>165</v>
      </c>
      <c r="G42" s="7" t="s">
        <v>165</v>
      </c>
      <c r="H42" s="7"/>
      <c r="I42" s="7" t="s">
        <v>51</v>
      </c>
      <c r="J42" s="35">
        <f>+K42/1.08</f>
        <v>62801758.333333328</v>
      </c>
      <c r="K42" s="70">
        <v>67825899</v>
      </c>
      <c r="L42" s="70"/>
      <c r="M42" s="70">
        <f t="shared" si="21"/>
        <v>47101318.75</v>
      </c>
      <c r="N42" s="261">
        <v>0.25</v>
      </c>
      <c r="O42" s="37">
        <f t="shared" si="22"/>
        <v>15700439.583333332</v>
      </c>
      <c r="P42" s="13" t="s">
        <v>153</v>
      </c>
      <c r="Q42" s="7" t="str">
        <f>VLOOKUP('Data Doanh số'!P42,'DROPDOWNDATA-NOFILL'!$A$1:$B$40,2,FALSE)</f>
        <v>BU 2</v>
      </c>
      <c r="R42" s="7" t="s">
        <v>34</v>
      </c>
      <c r="S42" s="7" t="s">
        <v>44</v>
      </c>
      <c r="T42" s="7" t="s">
        <v>45</v>
      </c>
      <c r="U42" s="7" t="s">
        <v>65</v>
      </c>
      <c r="V42" s="123">
        <v>46016</v>
      </c>
      <c r="W42" s="8">
        <f t="shared" si="16"/>
        <v>2026</v>
      </c>
      <c r="X42" s="8">
        <f t="shared" si="17"/>
        <v>2</v>
      </c>
      <c r="Y42" s="83">
        <f t="shared" si="18"/>
        <v>27</v>
      </c>
      <c r="Z42" s="83" t="str">
        <f t="shared" si="19"/>
        <v>W4</v>
      </c>
      <c r="AA42" s="83" t="str">
        <f t="shared" si="20"/>
        <v>Quý I</v>
      </c>
      <c r="AB42" s="80" t="str">
        <f t="shared" si="10"/>
        <v>MKT</v>
      </c>
      <c r="AC42" s="7"/>
    </row>
    <row r="43" spans="1:29" x14ac:dyDescent="0.2">
      <c r="A43" s="7">
        <f t="shared" si="23"/>
        <v>42</v>
      </c>
      <c r="B43" s="7" t="str">
        <f t="shared" si="13"/>
        <v>15B2C2602012</v>
      </c>
      <c r="C43" s="10" t="s">
        <v>168</v>
      </c>
      <c r="D43" s="31">
        <v>46083</v>
      </c>
      <c r="E43" s="12" t="s">
        <v>169</v>
      </c>
      <c r="F43" s="12" t="s">
        <v>133</v>
      </c>
      <c r="G43" s="7" t="s">
        <v>133</v>
      </c>
      <c r="H43" s="7"/>
      <c r="I43" s="7" t="s">
        <v>41</v>
      </c>
      <c r="J43" s="35">
        <v>8775000</v>
      </c>
      <c r="K43" s="70">
        <v>9477000</v>
      </c>
      <c r="L43" s="70"/>
      <c r="M43" s="70">
        <f t="shared" si="21"/>
        <v>6142500</v>
      </c>
      <c r="N43" s="261">
        <v>0.3</v>
      </c>
      <c r="O43" s="37">
        <f t="shared" si="22"/>
        <v>2632500</v>
      </c>
      <c r="P43" s="13" t="s">
        <v>170</v>
      </c>
      <c r="Q43" s="7" t="str">
        <f>VLOOKUP('Data Doanh số'!P43,'DROPDOWNDATA-NOFILL'!$A$1:$B$40,2,FALSE)</f>
        <v>BU 3</v>
      </c>
      <c r="R43" s="7" t="s">
        <v>34</v>
      </c>
      <c r="S43" s="7" t="s">
        <v>44</v>
      </c>
      <c r="T43" s="7" t="s">
        <v>75</v>
      </c>
      <c r="U43" s="7" t="s">
        <v>65</v>
      </c>
      <c r="V43" s="123">
        <v>46083</v>
      </c>
      <c r="W43" s="8">
        <f t="shared" si="16"/>
        <v>2026</v>
      </c>
      <c r="X43" s="8">
        <f t="shared" si="17"/>
        <v>3</v>
      </c>
      <c r="Y43" s="83">
        <f t="shared" si="18"/>
        <v>2</v>
      </c>
      <c r="Z43" s="83" t="str">
        <f t="shared" si="19"/>
        <v>W1</v>
      </c>
      <c r="AA43" s="83" t="str">
        <f t="shared" si="20"/>
        <v>Quý I</v>
      </c>
      <c r="AB43" s="80" t="str">
        <f t="shared" si="10"/>
        <v>Sale tự kiếm</v>
      </c>
      <c r="AC43" s="7"/>
    </row>
    <row r="44" spans="1:29" x14ac:dyDescent="0.2">
      <c r="A44" s="7">
        <f t="shared" si="23"/>
        <v>43</v>
      </c>
      <c r="B44" s="7" t="str">
        <f t="shared" si="13"/>
        <v>29B2C2603004</v>
      </c>
      <c r="C44" s="10" t="s">
        <v>171</v>
      </c>
      <c r="D44" s="31">
        <v>46086</v>
      </c>
      <c r="E44" s="12" t="s">
        <v>172</v>
      </c>
      <c r="F44" s="12" t="s">
        <v>40</v>
      </c>
      <c r="G44" s="7" t="s">
        <v>40</v>
      </c>
      <c r="H44" s="7"/>
      <c r="I44" s="7" t="s">
        <v>41</v>
      </c>
      <c r="J44" s="35">
        <v>2777778</v>
      </c>
      <c r="K44" s="70">
        <v>3000000</v>
      </c>
      <c r="L44" s="70"/>
      <c r="M44" s="70">
        <f t="shared" si="21"/>
        <v>1944444.6</v>
      </c>
      <c r="N44" s="261">
        <v>0.3</v>
      </c>
      <c r="O44" s="37">
        <f t="shared" si="22"/>
        <v>833333.4</v>
      </c>
      <c r="P44" s="13" t="s">
        <v>140</v>
      </c>
      <c r="Q44" s="7" t="str">
        <f>VLOOKUP('Data Doanh số'!P44,'DROPDOWNDATA-NOFILL'!$A$1:$B$40,2,FALSE)</f>
        <v>BU 1</v>
      </c>
      <c r="R44" s="7" t="s">
        <v>60</v>
      </c>
      <c r="S44" s="7" t="s">
        <v>44</v>
      </c>
      <c r="T44" s="7" t="s">
        <v>45</v>
      </c>
      <c r="U44" s="7" t="s">
        <v>46</v>
      </c>
      <c r="V44" s="123">
        <v>46083</v>
      </c>
      <c r="W44" s="8">
        <f t="shared" si="16"/>
        <v>2026</v>
      </c>
      <c r="X44" s="8">
        <f t="shared" si="17"/>
        <v>3</v>
      </c>
      <c r="Y44" s="83">
        <f t="shared" si="18"/>
        <v>5</v>
      </c>
      <c r="Z44" s="83" t="str">
        <f t="shared" si="19"/>
        <v>W1</v>
      </c>
      <c r="AA44" s="83" t="str">
        <f t="shared" si="20"/>
        <v>Quý I</v>
      </c>
      <c r="AB44" s="80" t="str">
        <f t="shared" si="10"/>
        <v>MKT</v>
      </c>
      <c r="AC44" s="7"/>
    </row>
    <row r="45" spans="1:29" x14ac:dyDescent="0.2">
      <c r="A45" s="7">
        <f t="shared" si="23"/>
        <v>44</v>
      </c>
      <c r="B45" s="7" t="str">
        <f t="shared" si="13"/>
        <v>29B2C2603003</v>
      </c>
      <c r="C45" s="10" t="s">
        <v>173</v>
      </c>
      <c r="D45" s="31">
        <v>46086</v>
      </c>
      <c r="E45" s="12" t="s">
        <v>174</v>
      </c>
      <c r="F45" s="12" t="s">
        <v>98</v>
      </c>
      <c r="G45" s="7" t="s">
        <v>98</v>
      </c>
      <c r="H45" s="7"/>
      <c r="I45" s="7" t="s">
        <v>41</v>
      </c>
      <c r="J45" s="35">
        <v>11851852</v>
      </c>
      <c r="K45" s="70">
        <v>12800000</v>
      </c>
      <c r="L45" s="70">
        <v>250000000</v>
      </c>
      <c r="M45" s="70">
        <f t="shared" si="21"/>
        <v>7703703.8000000007</v>
      </c>
      <c r="N45" s="261">
        <v>0.35</v>
      </c>
      <c r="O45" s="37">
        <f t="shared" si="22"/>
        <v>4148148.1999999997</v>
      </c>
      <c r="P45" s="13" t="s">
        <v>71</v>
      </c>
      <c r="Q45" s="7" t="str">
        <f>VLOOKUP('Data Doanh số'!P45,'DROPDOWNDATA-NOFILL'!$A$1:$B$40,2,FALSE)</f>
        <v>BU 1</v>
      </c>
      <c r="R45" s="124" t="s">
        <v>60</v>
      </c>
      <c r="S45" s="124" t="s">
        <v>44</v>
      </c>
      <c r="T45" s="124" t="s">
        <v>45</v>
      </c>
      <c r="U45" s="124" t="s">
        <v>65</v>
      </c>
      <c r="V45" s="31">
        <v>46006</v>
      </c>
      <c r="W45" s="8">
        <f t="shared" si="16"/>
        <v>2026</v>
      </c>
      <c r="X45" s="8">
        <f t="shared" si="17"/>
        <v>3</v>
      </c>
      <c r="Y45" s="83">
        <f t="shared" si="18"/>
        <v>5</v>
      </c>
      <c r="Z45" s="83" t="str">
        <f t="shared" si="19"/>
        <v>W1</v>
      </c>
      <c r="AA45" s="83" t="str">
        <f t="shared" si="20"/>
        <v>Quý I</v>
      </c>
      <c r="AB45" s="80" t="str">
        <f t="shared" si="10"/>
        <v>MKT</v>
      </c>
      <c r="AC45" s="7"/>
    </row>
    <row r="46" spans="1:29" x14ac:dyDescent="0.2">
      <c r="A46" s="7">
        <f t="shared" si="23"/>
        <v>45</v>
      </c>
      <c r="B46" s="7" t="str">
        <f t="shared" si="13"/>
        <v>51B2B2511001</v>
      </c>
      <c r="C46" s="10" t="s">
        <v>175</v>
      </c>
      <c r="D46" s="31">
        <v>46087</v>
      </c>
      <c r="E46" s="12" t="s">
        <v>176</v>
      </c>
      <c r="F46" s="12" t="s">
        <v>79</v>
      </c>
      <c r="G46" s="7" t="s">
        <v>31</v>
      </c>
      <c r="H46" s="7"/>
      <c r="I46" s="7" t="s">
        <v>51</v>
      </c>
      <c r="J46" s="35">
        <v>68913000</v>
      </c>
      <c r="K46" s="70">
        <f>+J46*1.08</f>
        <v>74426040</v>
      </c>
      <c r="L46" s="70"/>
      <c r="M46" s="70">
        <f t="shared" si="21"/>
        <v>62021700</v>
      </c>
      <c r="N46" s="261">
        <v>0.1</v>
      </c>
      <c r="O46" s="37">
        <f t="shared" si="22"/>
        <v>6891300</v>
      </c>
      <c r="P46" s="13" t="s">
        <v>80</v>
      </c>
      <c r="Q46" s="7" t="str">
        <f>VLOOKUP('Data Doanh số'!P46,'DROPDOWNDATA-NOFILL'!$A$1:$B$40,2,FALSE)</f>
        <v>BU HCM</v>
      </c>
      <c r="R46" s="7" t="s">
        <v>60</v>
      </c>
      <c r="S46" s="7" t="s">
        <v>35</v>
      </c>
      <c r="T46" s="7" t="s">
        <v>177</v>
      </c>
      <c r="U46" s="7" t="s">
        <v>37</v>
      </c>
      <c r="V46" s="31">
        <v>46087</v>
      </c>
      <c r="W46" s="8">
        <f t="shared" si="16"/>
        <v>2026</v>
      </c>
      <c r="X46" s="8">
        <f t="shared" si="17"/>
        <v>3</v>
      </c>
      <c r="Y46" s="83">
        <f t="shared" si="18"/>
        <v>6</v>
      </c>
      <c r="Z46" s="83" t="str">
        <f t="shared" si="19"/>
        <v>W1</v>
      </c>
      <c r="AA46" s="83" t="str">
        <f t="shared" si="20"/>
        <v>Quý I</v>
      </c>
      <c r="AB46" s="80" t="str">
        <f t="shared" si="10"/>
        <v>Customer</v>
      </c>
      <c r="AC46" s="7"/>
    </row>
    <row r="47" spans="1:29" x14ac:dyDescent="0.2">
      <c r="A47" s="7">
        <f t="shared" si="23"/>
        <v>46</v>
      </c>
      <c r="B47" s="7" t="str">
        <f t="shared" si="13"/>
        <v>51B2C2601012</v>
      </c>
      <c r="C47" s="10" t="s">
        <v>178</v>
      </c>
      <c r="D47" s="31">
        <v>46087</v>
      </c>
      <c r="E47" s="12" t="s">
        <v>78</v>
      </c>
      <c r="F47" s="12" t="s">
        <v>79</v>
      </c>
      <c r="G47" s="7" t="s">
        <v>31</v>
      </c>
      <c r="H47" s="7"/>
      <c r="I47" s="7" t="s">
        <v>51</v>
      </c>
      <c r="J47" s="35">
        <v>55550000</v>
      </c>
      <c r="K47" s="70">
        <v>59994000</v>
      </c>
      <c r="L47" s="70"/>
      <c r="M47" s="70">
        <f t="shared" si="21"/>
        <v>45551000</v>
      </c>
      <c r="N47" s="261">
        <v>0.18</v>
      </c>
      <c r="O47" s="37">
        <f t="shared" si="22"/>
        <v>9999000</v>
      </c>
      <c r="P47" s="13" t="s">
        <v>80</v>
      </c>
      <c r="Q47" s="7" t="str">
        <f>VLOOKUP('Data Doanh số'!P47,'DROPDOWNDATA-NOFILL'!$A$1:$B$40,2,FALSE)</f>
        <v>BU HCM</v>
      </c>
      <c r="R47" s="7" t="s">
        <v>60</v>
      </c>
      <c r="S47" s="7" t="s">
        <v>44</v>
      </c>
      <c r="T47" s="7" t="s">
        <v>99</v>
      </c>
      <c r="U47" s="7" t="s">
        <v>46</v>
      </c>
      <c r="V47" s="31">
        <v>46087</v>
      </c>
      <c r="W47" s="8">
        <f t="shared" si="16"/>
        <v>2026</v>
      </c>
      <c r="X47" s="8">
        <f t="shared" si="17"/>
        <v>3</v>
      </c>
      <c r="Y47" s="83">
        <f t="shared" si="18"/>
        <v>6</v>
      </c>
      <c r="Z47" s="83" t="str">
        <f t="shared" si="19"/>
        <v>W1</v>
      </c>
      <c r="AA47" s="83" t="str">
        <f t="shared" si="20"/>
        <v>Quý I</v>
      </c>
      <c r="AB47" s="80" t="str">
        <f t="shared" si="10"/>
        <v>Customer</v>
      </c>
      <c r="AC47" s="7"/>
    </row>
    <row r="48" spans="1:29" x14ac:dyDescent="0.2">
      <c r="A48" s="7">
        <f t="shared" si="23"/>
        <v>47</v>
      </c>
      <c r="B48" s="7"/>
      <c r="C48" s="10" t="s">
        <v>179</v>
      </c>
      <c r="D48" s="31">
        <v>46088</v>
      </c>
      <c r="E48" s="12" t="s">
        <v>179</v>
      </c>
      <c r="F48" s="12" t="s">
        <v>117</v>
      </c>
      <c r="G48" s="12" t="s">
        <v>117</v>
      </c>
      <c r="H48" s="12"/>
      <c r="I48" s="7" t="s">
        <v>74</v>
      </c>
      <c r="J48" s="35">
        <f>K48/1.08</f>
        <v>3227523.1481481479</v>
      </c>
      <c r="K48" s="70">
        <v>3485725</v>
      </c>
      <c r="L48" s="70"/>
      <c r="M48" s="70"/>
      <c r="N48" s="261"/>
      <c r="O48" s="37"/>
      <c r="P48" s="13" t="s">
        <v>180</v>
      </c>
      <c r="Q48" s="7" t="str">
        <f>VLOOKUP('Data Doanh số'!P48,'DROPDOWNDATA-NOFILL'!$A$1:$B$40,2,FALSE)</f>
        <v>TMĐT</v>
      </c>
      <c r="R48" s="7" t="s">
        <v>34</v>
      </c>
      <c r="S48" s="7" t="s">
        <v>44</v>
      </c>
      <c r="T48" s="7"/>
      <c r="U48" s="7" t="s">
        <v>65</v>
      </c>
      <c r="V48" s="31"/>
      <c r="W48" s="8">
        <f t="shared" si="16"/>
        <v>2026</v>
      </c>
      <c r="X48" s="8">
        <f t="shared" si="17"/>
        <v>3</v>
      </c>
      <c r="Y48" s="83">
        <f t="shared" si="18"/>
        <v>7</v>
      </c>
      <c r="Z48" s="83" t="str">
        <f t="shared" si="19"/>
        <v>W1</v>
      </c>
      <c r="AA48" s="83" t="str">
        <f t="shared" si="20"/>
        <v>Quý I</v>
      </c>
      <c r="AB48" s="80" t="str">
        <f t="shared" si="10"/>
        <v>TMĐT</v>
      </c>
      <c r="AC48" s="7"/>
    </row>
    <row r="49" spans="1:29" x14ac:dyDescent="0.2">
      <c r="A49" s="7">
        <f t="shared" si="23"/>
        <v>48</v>
      </c>
      <c r="B49" s="7" t="str">
        <f>LEFT(C49,12)</f>
        <v>29B2C2603011</v>
      </c>
      <c r="C49" s="10" t="s">
        <v>181</v>
      </c>
      <c r="D49" s="31">
        <v>46091</v>
      </c>
      <c r="E49" s="12" t="s">
        <v>182</v>
      </c>
      <c r="F49" s="12" t="s">
        <v>165</v>
      </c>
      <c r="G49" s="7" t="s">
        <v>165</v>
      </c>
      <c r="H49" s="7"/>
      <c r="I49" s="7" t="s">
        <v>41</v>
      </c>
      <c r="J49" s="35">
        <v>2777778</v>
      </c>
      <c r="K49" s="70">
        <v>3000000</v>
      </c>
      <c r="L49" s="70"/>
      <c r="M49" s="70">
        <f>J49-J49*N49</f>
        <v>1944444.6</v>
      </c>
      <c r="N49" s="261">
        <v>0.3</v>
      </c>
      <c r="O49" s="37">
        <f>+N49*J49</f>
        <v>833333.4</v>
      </c>
      <c r="P49" s="13" t="s">
        <v>71</v>
      </c>
      <c r="Q49" s="7" t="str">
        <f>VLOOKUP('Data Doanh số'!P49,'DROPDOWNDATA-NOFILL'!$A$1:$B$40,2,FALSE)</f>
        <v>BU 1</v>
      </c>
      <c r="R49" s="7" t="s">
        <v>60</v>
      </c>
      <c r="S49" s="7" t="s">
        <v>44</v>
      </c>
      <c r="T49" s="7" t="s">
        <v>45</v>
      </c>
      <c r="U49" s="7" t="s">
        <v>65</v>
      </c>
      <c r="V49" s="31">
        <v>46078</v>
      </c>
      <c r="W49" s="8">
        <f t="shared" si="16"/>
        <v>2026</v>
      </c>
      <c r="X49" s="8">
        <f t="shared" si="17"/>
        <v>3</v>
      </c>
      <c r="Y49" s="83">
        <f t="shared" si="18"/>
        <v>10</v>
      </c>
      <c r="Z49" s="83" t="str">
        <f t="shared" si="19"/>
        <v>W2</v>
      </c>
      <c r="AA49" s="83" t="str">
        <f t="shared" si="20"/>
        <v>Quý I</v>
      </c>
      <c r="AB49" s="80" t="str">
        <f t="shared" si="10"/>
        <v>MKT</v>
      </c>
      <c r="AC49" s="7"/>
    </row>
    <row r="50" spans="1:29" x14ac:dyDescent="0.2">
      <c r="A50" s="7">
        <f t="shared" si="23"/>
        <v>49</v>
      </c>
      <c r="B50" s="7" t="str">
        <f>LEFT(C50,12)</f>
        <v>29B2C2603010</v>
      </c>
      <c r="C50" s="10" t="s">
        <v>183</v>
      </c>
      <c r="D50" s="31">
        <v>46091</v>
      </c>
      <c r="E50" s="12" t="s">
        <v>184</v>
      </c>
      <c r="F50" s="12" t="s">
        <v>133</v>
      </c>
      <c r="G50" s="7" t="s">
        <v>133</v>
      </c>
      <c r="H50" s="7"/>
      <c r="I50" s="7" t="s">
        <v>41</v>
      </c>
      <c r="J50" s="35">
        <v>60958333</v>
      </c>
      <c r="K50" s="70">
        <v>65835000</v>
      </c>
      <c r="L50" s="70">
        <v>1600000000</v>
      </c>
      <c r="M50" s="70">
        <f>J50-J50*N50</f>
        <v>42670833.100000001</v>
      </c>
      <c r="N50" s="261">
        <v>0.3</v>
      </c>
      <c r="O50" s="37">
        <f>+N50*J50</f>
        <v>18287499.899999999</v>
      </c>
      <c r="P50" s="13" t="s">
        <v>83</v>
      </c>
      <c r="Q50" s="7" t="str">
        <f>VLOOKUP('Data Doanh số'!P50,'DROPDOWNDATA-NOFILL'!$A$1:$B$40,2,FALSE)</f>
        <v>BU 1</v>
      </c>
      <c r="R50" s="12" t="s">
        <v>34</v>
      </c>
      <c r="S50" s="12" t="s">
        <v>44</v>
      </c>
      <c r="T50" s="12" t="s">
        <v>185</v>
      </c>
      <c r="U50" s="12" t="s">
        <v>46</v>
      </c>
      <c r="V50" s="31">
        <v>46092</v>
      </c>
      <c r="W50" s="8">
        <f t="shared" si="16"/>
        <v>2026</v>
      </c>
      <c r="X50" s="8">
        <f t="shared" si="17"/>
        <v>3</v>
      </c>
      <c r="Y50" s="83">
        <f t="shared" si="18"/>
        <v>10</v>
      </c>
      <c r="Z50" s="83" t="str">
        <f t="shared" si="19"/>
        <v>W2</v>
      </c>
      <c r="AA50" s="83" t="str">
        <f t="shared" si="20"/>
        <v>Quý I</v>
      </c>
      <c r="AB50" s="80" t="str">
        <f t="shared" si="10"/>
        <v>Sale tự kiếm</v>
      </c>
      <c r="AC50" s="7"/>
    </row>
    <row r="51" spans="1:29" x14ac:dyDescent="0.2">
      <c r="A51" s="7">
        <f t="shared" si="23"/>
        <v>50</v>
      </c>
      <c r="B51" s="7" t="str">
        <f>LEFT(C51,12)</f>
        <v>29B2C2603012</v>
      </c>
      <c r="C51" s="10" t="s">
        <v>186</v>
      </c>
      <c r="D51" s="31">
        <v>46092</v>
      </c>
      <c r="E51" s="12" t="s">
        <v>187</v>
      </c>
      <c r="F51" s="12" t="s">
        <v>40</v>
      </c>
      <c r="G51" s="7" t="s">
        <v>40</v>
      </c>
      <c r="H51" s="7"/>
      <c r="I51" s="7" t="s">
        <v>41</v>
      </c>
      <c r="J51" s="35">
        <v>12725000</v>
      </c>
      <c r="K51" s="70">
        <v>13743000</v>
      </c>
      <c r="L51" s="70"/>
      <c r="M51" s="70">
        <f>J51-J51*N51</f>
        <v>7635000</v>
      </c>
      <c r="N51" s="261">
        <v>0.4</v>
      </c>
      <c r="O51" s="37">
        <f>+N51*J51</f>
        <v>5090000</v>
      </c>
      <c r="P51" s="13" t="s">
        <v>140</v>
      </c>
      <c r="Q51" s="7" t="str">
        <f>VLOOKUP('Data Doanh số'!P51,'DROPDOWNDATA-NOFILL'!$A$1:$B$40,2,FALSE)</f>
        <v>BU 1</v>
      </c>
      <c r="R51" s="7" t="s">
        <v>34</v>
      </c>
      <c r="S51" s="7" t="s">
        <v>44</v>
      </c>
      <c r="T51" s="7" t="s">
        <v>45</v>
      </c>
      <c r="U51" s="7" t="s">
        <v>65</v>
      </c>
      <c r="V51" s="31">
        <v>46087</v>
      </c>
      <c r="W51" s="8">
        <f t="shared" si="16"/>
        <v>2026</v>
      </c>
      <c r="X51" s="8">
        <f t="shared" si="17"/>
        <v>3</v>
      </c>
      <c r="Y51" s="83">
        <f t="shared" si="18"/>
        <v>11</v>
      </c>
      <c r="Z51" s="83" t="str">
        <f t="shared" si="19"/>
        <v>W2</v>
      </c>
      <c r="AA51" s="83" t="str">
        <f t="shared" si="20"/>
        <v>Quý I</v>
      </c>
      <c r="AB51" s="80" t="str">
        <f t="shared" si="10"/>
        <v>MKT</v>
      </c>
      <c r="AC51" s="7"/>
    </row>
    <row r="52" spans="1:29" x14ac:dyDescent="0.2">
      <c r="A52" s="7">
        <f t="shared" si="23"/>
        <v>51</v>
      </c>
      <c r="B52" s="7" t="str">
        <f>LEFT(C52,12)</f>
        <v>29REN2603001</v>
      </c>
      <c r="C52" s="10" t="s">
        <v>188</v>
      </c>
      <c r="D52" s="31">
        <v>46095</v>
      </c>
      <c r="E52" s="12" t="s">
        <v>189</v>
      </c>
      <c r="F52" s="7" t="s">
        <v>40</v>
      </c>
      <c r="G52" s="7" t="s">
        <v>40</v>
      </c>
      <c r="H52" s="7"/>
      <c r="I52" s="7" t="s">
        <v>70</v>
      </c>
      <c r="J52" s="35">
        <v>108311713</v>
      </c>
      <c r="K52" s="70">
        <v>116976650</v>
      </c>
      <c r="L52" s="70"/>
      <c r="M52" s="70">
        <f>J52-J52*N52</f>
        <v>43324685.200000003</v>
      </c>
      <c r="N52" s="261">
        <v>0.6</v>
      </c>
      <c r="O52" s="37">
        <f>+N52*J52</f>
        <v>64987027.799999997</v>
      </c>
      <c r="P52" s="13" t="s">
        <v>71</v>
      </c>
      <c r="Q52" s="7" t="str">
        <f>VLOOKUP('Data Doanh số'!P52,'DROPDOWNDATA-NOFILL'!$A$1:$B$40,2,FALSE)</f>
        <v>BU 1</v>
      </c>
      <c r="R52" s="7" t="s">
        <v>34</v>
      </c>
      <c r="S52" s="7" t="s">
        <v>44</v>
      </c>
      <c r="T52" s="7" t="s">
        <v>75</v>
      </c>
      <c r="U52" s="7" t="s">
        <v>190</v>
      </c>
      <c r="V52" s="31">
        <v>46095</v>
      </c>
      <c r="W52" s="8">
        <f t="shared" si="16"/>
        <v>2026</v>
      </c>
      <c r="X52" s="8">
        <f t="shared" si="17"/>
        <v>3</v>
      </c>
      <c r="Y52" s="83">
        <f t="shared" si="18"/>
        <v>14</v>
      </c>
      <c r="Z52" s="83" t="str">
        <f t="shared" si="19"/>
        <v>W2</v>
      </c>
      <c r="AA52" s="83" t="str">
        <f t="shared" si="20"/>
        <v>Quý I</v>
      </c>
      <c r="AB52" s="80" t="str">
        <f t="shared" ref="AB52:AB83" si="24">IF(OR(G52="Facebook",G52="Hotline",G52="Zalo",G52="Website",G52="Walk in"),"MKT",G52)</f>
        <v>MKT</v>
      </c>
      <c r="AC52" s="7"/>
    </row>
    <row r="53" spans="1:29" x14ac:dyDescent="0.2">
      <c r="A53" s="7">
        <f t="shared" si="23"/>
        <v>52</v>
      </c>
      <c r="B53" s="7" t="str">
        <f>LEFT(C53,12)</f>
        <v>29B2C2603013</v>
      </c>
      <c r="C53" s="10" t="s">
        <v>191</v>
      </c>
      <c r="D53" s="31">
        <v>46095</v>
      </c>
      <c r="E53" s="12" t="s">
        <v>192</v>
      </c>
      <c r="F53" s="12" t="s">
        <v>193</v>
      </c>
      <c r="G53" s="7" t="s">
        <v>193</v>
      </c>
      <c r="H53" s="7"/>
      <c r="I53" s="7" t="s">
        <v>51</v>
      </c>
      <c r="J53" s="63">
        <f>+K53/1.08</f>
        <v>223953518.51851851</v>
      </c>
      <c r="K53" s="63">
        <v>241869800</v>
      </c>
      <c r="L53" s="70"/>
      <c r="M53" s="70">
        <f>J53-J53*N53</f>
        <v>176923279.62962961</v>
      </c>
      <c r="N53" s="261">
        <v>0.21</v>
      </c>
      <c r="O53" s="37">
        <f>+N53*J53</f>
        <v>47030238.888888888</v>
      </c>
      <c r="P53" s="13" t="s">
        <v>153</v>
      </c>
      <c r="Q53" s="7" t="str">
        <f>VLOOKUP('Data Doanh số'!P53,'DROPDOWNDATA-NOFILL'!$A$1:$B$40,2,FALSE)</f>
        <v>BU 2</v>
      </c>
      <c r="R53" s="7" t="s">
        <v>34</v>
      </c>
      <c r="S53" s="7" t="s">
        <v>44</v>
      </c>
      <c r="T53" s="7" t="s">
        <v>45</v>
      </c>
      <c r="U53" s="7" t="s">
        <v>46</v>
      </c>
      <c r="V53" s="31">
        <v>46095</v>
      </c>
      <c r="W53" s="8">
        <f t="shared" si="16"/>
        <v>2026</v>
      </c>
      <c r="X53" s="8">
        <f t="shared" si="17"/>
        <v>3</v>
      </c>
      <c r="Y53" s="83">
        <f t="shared" si="18"/>
        <v>14</v>
      </c>
      <c r="Z53" s="83" t="str">
        <f t="shared" si="19"/>
        <v>W2</v>
      </c>
      <c r="AA53" s="83" t="str">
        <f t="shared" si="20"/>
        <v>Quý I</v>
      </c>
      <c r="AB53" s="80" t="str">
        <f t="shared" si="24"/>
        <v>Shome</v>
      </c>
      <c r="AC53" s="7"/>
    </row>
    <row r="54" spans="1:29" x14ac:dyDescent="0.2">
      <c r="A54" s="7">
        <f t="shared" si="23"/>
        <v>53</v>
      </c>
      <c r="B54" s="7"/>
      <c r="C54" s="10" t="s">
        <v>194</v>
      </c>
      <c r="D54" s="31">
        <v>46095</v>
      </c>
      <c r="E54" s="12" t="s">
        <v>194</v>
      </c>
      <c r="F54" s="12" t="s">
        <v>117</v>
      </c>
      <c r="G54" s="12" t="s">
        <v>117</v>
      </c>
      <c r="H54" s="12"/>
      <c r="I54" s="7" t="s">
        <v>74</v>
      </c>
      <c r="J54" s="35">
        <f>+K54/1.08</f>
        <v>4202895.3703703703</v>
      </c>
      <c r="K54" s="70">
        <v>4539127</v>
      </c>
      <c r="L54" s="70"/>
      <c r="M54" s="70"/>
      <c r="N54" s="261"/>
      <c r="O54" s="37"/>
      <c r="P54" s="13" t="s">
        <v>180</v>
      </c>
      <c r="Q54" s="7" t="str">
        <f>VLOOKUP('Data Doanh số'!P54,'DROPDOWNDATA-NOFILL'!$A$1:$B$40,2,FALSE)</f>
        <v>TMĐT</v>
      </c>
      <c r="R54" s="7" t="s">
        <v>34</v>
      </c>
      <c r="S54" s="7" t="s">
        <v>44</v>
      </c>
      <c r="T54" s="7"/>
      <c r="U54" s="7" t="s">
        <v>65</v>
      </c>
      <c r="V54" s="31"/>
      <c r="W54" s="8">
        <f t="shared" si="16"/>
        <v>2026</v>
      </c>
      <c r="X54" s="8">
        <f t="shared" si="17"/>
        <v>3</v>
      </c>
      <c r="Y54" s="83">
        <f t="shared" si="18"/>
        <v>14</v>
      </c>
      <c r="Z54" s="83" t="str">
        <f t="shared" si="19"/>
        <v>W2</v>
      </c>
      <c r="AA54" s="83" t="str">
        <f t="shared" si="20"/>
        <v>Quý I</v>
      </c>
      <c r="AB54" s="80" t="str">
        <f t="shared" si="24"/>
        <v>TMĐT</v>
      </c>
      <c r="AC54" s="7"/>
    </row>
    <row r="55" spans="1:29" x14ac:dyDescent="0.2">
      <c r="A55" s="7">
        <f t="shared" si="23"/>
        <v>54</v>
      </c>
      <c r="B55" s="7" t="str">
        <f t="shared" ref="B55:B61" si="25">LEFT(C55,12)</f>
        <v>29B2C2603015</v>
      </c>
      <c r="C55" s="10" t="s">
        <v>195</v>
      </c>
      <c r="D55" s="31">
        <v>46097</v>
      </c>
      <c r="E55" s="12" t="s">
        <v>196</v>
      </c>
      <c r="F55" s="12" t="s">
        <v>40</v>
      </c>
      <c r="G55" s="7" t="s">
        <v>40</v>
      </c>
      <c r="H55" s="7"/>
      <c r="I55" s="7" t="s">
        <v>41</v>
      </c>
      <c r="J55" s="35">
        <v>6111111</v>
      </c>
      <c r="K55" s="70">
        <v>6600000</v>
      </c>
      <c r="L55" s="70">
        <v>200000000</v>
      </c>
      <c r="M55" s="70">
        <f t="shared" ref="M55:M61" si="26">J55-J55*N55</f>
        <v>3666666.6</v>
      </c>
      <c r="N55" s="261">
        <v>0.4</v>
      </c>
      <c r="O55" s="37">
        <f t="shared" ref="O55:O61" si="27">+N55*J55</f>
        <v>2444444.4</v>
      </c>
      <c r="P55" s="13" t="s">
        <v>87</v>
      </c>
      <c r="Q55" s="7" t="str">
        <f>VLOOKUP('Data Doanh số'!P55,'DROPDOWNDATA-NOFILL'!$A$1:$B$40,2,FALSE)</f>
        <v>BU 1</v>
      </c>
      <c r="R55" s="7" t="s">
        <v>43</v>
      </c>
      <c r="S55" s="7" t="s">
        <v>44</v>
      </c>
      <c r="T55" s="7" t="s">
        <v>45</v>
      </c>
      <c r="U55" s="7" t="s">
        <v>65</v>
      </c>
      <c r="V55" s="31">
        <v>46090</v>
      </c>
      <c r="W55" s="8">
        <f t="shared" si="16"/>
        <v>2026</v>
      </c>
      <c r="X55" s="8">
        <f t="shared" si="17"/>
        <v>3</v>
      </c>
      <c r="Y55" s="83">
        <f t="shared" si="18"/>
        <v>16</v>
      </c>
      <c r="Z55" s="83" t="str">
        <f t="shared" si="19"/>
        <v>W3</v>
      </c>
      <c r="AA55" s="83" t="str">
        <f t="shared" si="20"/>
        <v>Quý I</v>
      </c>
      <c r="AB55" s="80" t="str">
        <f t="shared" si="24"/>
        <v>MKT</v>
      </c>
      <c r="AC55" s="7"/>
    </row>
    <row r="56" spans="1:29" ht="45" x14ac:dyDescent="0.2">
      <c r="A56" s="7">
        <f t="shared" si="23"/>
        <v>55</v>
      </c>
      <c r="B56" s="7" t="str">
        <f t="shared" si="25"/>
        <v>29B2C2603014</v>
      </c>
      <c r="C56" s="10" t="s">
        <v>197</v>
      </c>
      <c r="D56" s="31">
        <v>46097</v>
      </c>
      <c r="E56" s="12" t="s">
        <v>198</v>
      </c>
      <c r="F56" s="12" t="s">
        <v>40</v>
      </c>
      <c r="G56" s="7" t="s">
        <v>40</v>
      </c>
      <c r="H56" s="7"/>
      <c r="I56" s="7" t="s">
        <v>41</v>
      </c>
      <c r="J56" s="35">
        <f>+K56/1.08</f>
        <v>9259259.2592592593</v>
      </c>
      <c r="K56" s="70">
        <v>10000000</v>
      </c>
      <c r="L56" s="70"/>
      <c r="M56" s="70">
        <f t="shared" si="26"/>
        <v>0</v>
      </c>
      <c r="N56" s="261">
        <v>1</v>
      </c>
      <c r="O56" s="37">
        <f t="shared" si="27"/>
        <v>9259259.2592592593</v>
      </c>
      <c r="P56" s="13" t="s">
        <v>153</v>
      </c>
      <c r="Q56" s="7" t="str">
        <f>VLOOKUP('Data Doanh số'!P56,'DROPDOWNDATA-NOFILL'!$A$1:$B$40,2,FALSE)</f>
        <v>BU 2</v>
      </c>
      <c r="R56" s="7" t="s">
        <v>60</v>
      </c>
      <c r="S56" s="7" t="s">
        <v>44</v>
      </c>
      <c r="T56" s="7" t="s">
        <v>45</v>
      </c>
      <c r="U56" s="7" t="s">
        <v>46</v>
      </c>
      <c r="V56" s="31">
        <v>46090</v>
      </c>
      <c r="W56" s="8">
        <f t="shared" si="16"/>
        <v>2026</v>
      </c>
      <c r="X56" s="8">
        <f t="shared" si="17"/>
        <v>3</v>
      </c>
      <c r="Y56" s="83">
        <f t="shared" si="18"/>
        <v>16</v>
      </c>
      <c r="Z56" s="83" t="str">
        <f t="shared" si="19"/>
        <v>W3</v>
      </c>
      <c r="AA56" s="83" t="str">
        <f t="shared" si="20"/>
        <v>Quý I</v>
      </c>
      <c r="AB56" s="80" t="str">
        <f t="shared" si="24"/>
        <v>MKT</v>
      </c>
      <c r="AC56" s="313" t="s">
        <v>199</v>
      </c>
    </row>
    <row r="57" spans="1:29" x14ac:dyDescent="0.2">
      <c r="A57" s="7">
        <f t="shared" si="23"/>
        <v>56</v>
      </c>
      <c r="B57" s="7" t="str">
        <f t="shared" si="25"/>
        <v>29B2C2603008</v>
      </c>
      <c r="C57" s="10" t="s">
        <v>200</v>
      </c>
      <c r="D57" s="31">
        <v>46099</v>
      </c>
      <c r="E57" s="12" t="s">
        <v>201</v>
      </c>
      <c r="F57" s="12" t="s">
        <v>40</v>
      </c>
      <c r="G57" s="7" t="s">
        <v>40</v>
      </c>
      <c r="H57" s="7"/>
      <c r="I57" s="7" t="s">
        <v>51</v>
      </c>
      <c r="J57" s="35">
        <v>157133375</v>
      </c>
      <c r="K57" s="70">
        <v>169704045</v>
      </c>
      <c r="L57" s="70"/>
      <c r="M57" s="70">
        <f t="shared" si="26"/>
        <v>122564032.5</v>
      </c>
      <c r="N57" s="261">
        <v>0.22</v>
      </c>
      <c r="O57" s="37">
        <f t="shared" si="27"/>
        <v>34569342.5</v>
      </c>
      <c r="P57" s="13" t="s">
        <v>55</v>
      </c>
      <c r="Q57" s="7" t="str">
        <f>VLOOKUP('Data Doanh số'!P57,'DROPDOWNDATA-NOFILL'!$A$1:$B$40,2,FALSE)</f>
        <v>BU 2</v>
      </c>
      <c r="R57" s="7" t="s">
        <v>43</v>
      </c>
      <c r="S57" s="7" t="s">
        <v>44</v>
      </c>
      <c r="T57" s="7" t="s">
        <v>45</v>
      </c>
      <c r="U57" s="7" t="s">
        <v>65</v>
      </c>
      <c r="V57" s="31">
        <v>46082</v>
      </c>
      <c r="W57" s="8">
        <f t="shared" si="16"/>
        <v>2026</v>
      </c>
      <c r="X57" s="8">
        <f t="shared" si="17"/>
        <v>3</v>
      </c>
      <c r="Y57" s="83">
        <f t="shared" si="18"/>
        <v>18</v>
      </c>
      <c r="Z57" s="83" t="str">
        <f t="shared" si="19"/>
        <v>W3</v>
      </c>
      <c r="AA57" s="83" t="str">
        <f t="shared" si="20"/>
        <v>Quý I</v>
      </c>
      <c r="AB57" s="80" t="str">
        <f t="shared" si="24"/>
        <v>MKT</v>
      </c>
      <c r="AC57" s="313"/>
    </row>
    <row r="58" spans="1:29" x14ac:dyDescent="0.2">
      <c r="A58" s="7">
        <f t="shared" si="23"/>
        <v>57</v>
      </c>
      <c r="B58" s="7" t="str">
        <f t="shared" si="25"/>
        <v>29B2C2603017</v>
      </c>
      <c r="C58" s="10" t="s">
        <v>202</v>
      </c>
      <c r="D58" s="31">
        <v>46099</v>
      </c>
      <c r="E58" s="12" t="s">
        <v>203</v>
      </c>
      <c r="F58" s="12" t="s">
        <v>40</v>
      </c>
      <c r="G58" s="7" t="s">
        <v>40</v>
      </c>
      <c r="H58" s="7"/>
      <c r="I58" s="7" t="s">
        <v>41</v>
      </c>
      <c r="J58" s="35">
        <v>2222222</v>
      </c>
      <c r="K58" s="70">
        <v>2400000</v>
      </c>
      <c r="L58" s="70"/>
      <c r="M58" s="70">
        <f t="shared" si="26"/>
        <v>1199999.8799999999</v>
      </c>
      <c r="N58" s="261">
        <v>0.46</v>
      </c>
      <c r="O58" s="37">
        <f t="shared" si="27"/>
        <v>1022222.12</v>
      </c>
      <c r="P58" s="13" t="s">
        <v>153</v>
      </c>
      <c r="Q58" s="7" t="str">
        <f>VLOOKUP('Data Doanh số'!P58,'DROPDOWNDATA-NOFILL'!$A$1:$B$40,2,FALSE)</f>
        <v>BU 2</v>
      </c>
      <c r="R58" s="7" t="s">
        <v>43</v>
      </c>
      <c r="S58" s="7" t="s">
        <v>44</v>
      </c>
      <c r="T58" s="7" t="s">
        <v>45</v>
      </c>
      <c r="U58" s="7" t="s">
        <v>46</v>
      </c>
      <c r="V58" s="31">
        <v>46086</v>
      </c>
      <c r="W58" s="8">
        <f t="shared" si="16"/>
        <v>2026</v>
      </c>
      <c r="X58" s="8">
        <f t="shared" si="17"/>
        <v>3</v>
      </c>
      <c r="Y58" s="83">
        <f t="shared" si="18"/>
        <v>18</v>
      </c>
      <c r="Z58" s="83" t="str">
        <f t="shared" si="19"/>
        <v>W3</v>
      </c>
      <c r="AA58" s="83" t="str">
        <f t="shared" si="20"/>
        <v>Quý I</v>
      </c>
      <c r="AB58" s="80" t="str">
        <f t="shared" si="24"/>
        <v>MKT</v>
      </c>
      <c r="AC58" s="7"/>
    </row>
    <row r="59" spans="1:29" ht="30" x14ac:dyDescent="0.2">
      <c r="A59" s="7">
        <f t="shared" si="23"/>
        <v>58</v>
      </c>
      <c r="B59" s="7" t="str">
        <f t="shared" si="25"/>
        <v>29B2C2603017</v>
      </c>
      <c r="C59" s="10" t="s">
        <v>204</v>
      </c>
      <c r="D59" s="31">
        <v>46099</v>
      </c>
      <c r="E59" s="12" t="s">
        <v>205</v>
      </c>
      <c r="F59" s="12" t="s">
        <v>40</v>
      </c>
      <c r="G59" s="7" t="s">
        <v>40</v>
      </c>
      <c r="H59" s="7"/>
      <c r="I59" s="7" t="s">
        <v>51</v>
      </c>
      <c r="J59" s="35">
        <v>74832500</v>
      </c>
      <c r="K59" s="70">
        <f>+J59*1.08</f>
        <v>80819100</v>
      </c>
      <c r="L59" s="70"/>
      <c r="M59" s="70">
        <f t="shared" si="26"/>
        <v>59866000</v>
      </c>
      <c r="N59" s="261">
        <v>0.2</v>
      </c>
      <c r="O59" s="37">
        <f t="shared" si="27"/>
        <v>14966500</v>
      </c>
      <c r="P59" s="13" t="s">
        <v>153</v>
      </c>
      <c r="Q59" s="7" t="str">
        <f>VLOOKUP('Data Doanh số'!P59,'DROPDOWNDATA-NOFILL'!$A$1:$B$40,2,FALSE)</f>
        <v>BU 2</v>
      </c>
      <c r="R59" s="7" t="s">
        <v>43</v>
      </c>
      <c r="S59" s="7" t="s">
        <v>44</v>
      </c>
      <c r="T59" s="7" t="s">
        <v>45</v>
      </c>
      <c r="U59" s="7" t="s">
        <v>46</v>
      </c>
      <c r="V59" s="31">
        <v>46086</v>
      </c>
      <c r="W59" s="8">
        <f t="shared" si="16"/>
        <v>2026</v>
      </c>
      <c r="X59" s="8">
        <f t="shared" si="17"/>
        <v>3</v>
      </c>
      <c r="Y59" s="83">
        <f t="shared" si="18"/>
        <v>18</v>
      </c>
      <c r="Z59" s="83" t="str">
        <f t="shared" si="19"/>
        <v>W3</v>
      </c>
      <c r="AA59" s="83" t="str">
        <f t="shared" si="20"/>
        <v>Quý I</v>
      </c>
      <c r="AB59" s="80" t="str">
        <f t="shared" si="24"/>
        <v>MKT</v>
      </c>
      <c r="AC59" s="7"/>
    </row>
    <row r="60" spans="1:29" x14ac:dyDescent="0.2">
      <c r="A60" s="7">
        <f t="shared" si="23"/>
        <v>59</v>
      </c>
      <c r="B60" s="7" t="str">
        <f t="shared" si="25"/>
        <v>29B2C2603018</v>
      </c>
      <c r="C60" s="10" t="s">
        <v>206</v>
      </c>
      <c r="D60" s="31">
        <v>46100</v>
      </c>
      <c r="E60" s="12" t="s">
        <v>207</v>
      </c>
      <c r="F60" s="12" t="s">
        <v>40</v>
      </c>
      <c r="G60" s="7" t="s">
        <v>40</v>
      </c>
      <c r="H60" s="7"/>
      <c r="I60" s="7" t="s">
        <v>41</v>
      </c>
      <c r="J60" s="35">
        <v>2777778</v>
      </c>
      <c r="K60" s="70">
        <v>3000000</v>
      </c>
      <c r="L60" s="70"/>
      <c r="M60" s="70">
        <f t="shared" si="26"/>
        <v>1944444.6</v>
      </c>
      <c r="N60" s="261">
        <v>0.3</v>
      </c>
      <c r="O60" s="37">
        <f t="shared" si="27"/>
        <v>833333.4</v>
      </c>
      <c r="P60" s="13" t="s">
        <v>105</v>
      </c>
      <c r="Q60" s="7" t="str">
        <f>VLOOKUP('Data Doanh số'!P60,'DROPDOWNDATA-NOFILL'!$A$1:$B$40,2,FALSE)</f>
        <v>BU 1</v>
      </c>
      <c r="R60" s="7" t="s">
        <v>60</v>
      </c>
      <c r="S60" s="7" t="s">
        <v>44</v>
      </c>
      <c r="T60" s="7" t="s">
        <v>45</v>
      </c>
      <c r="U60" s="7" t="s">
        <v>65</v>
      </c>
      <c r="V60" s="31">
        <v>46093</v>
      </c>
      <c r="W60" s="8">
        <f t="shared" si="16"/>
        <v>2026</v>
      </c>
      <c r="X60" s="8">
        <f t="shared" si="17"/>
        <v>3</v>
      </c>
      <c r="Y60" s="83">
        <f t="shared" si="18"/>
        <v>19</v>
      </c>
      <c r="Z60" s="83" t="str">
        <f t="shared" si="19"/>
        <v>W3</v>
      </c>
      <c r="AA60" s="83" t="str">
        <f t="shared" si="20"/>
        <v>Quý I</v>
      </c>
      <c r="AB60" s="80" t="str">
        <f t="shared" si="24"/>
        <v>MKT</v>
      </c>
      <c r="AC60" s="21"/>
    </row>
    <row r="61" spans="1:29" ht="30" x14ac:dyDescent="0.2">
      <c r="A61" s="7">
        <f t="shared" si="23"/>
        <v>60</v>
      </c>
      <c r="B61" s="7" t="str">
        <f t="shared" si="25"/>
        <v>29B2C2512056</v>
      </c>
      <c r="C61" s="50" t="s">
        <v>208</v>
      </c>
      <c r="D61" s="31">
        <v>46101</v>
      </c>
      <c r="E61" s="12" t="s">
        <v>209</v>
      </c>
      <c r="F61" s="12" t="s">
        <v>79</v>
      </c>
      <c r="G61" s="21" t="s">
        <v>79</v>
      </c>
      <c r="H61" s="21"/>
      <c r="I61" s="7" t="s">
        <v>51</v>
      </c>
      <c r="J61" s="35">
        <f>+K61/1.08</f>
        <v>1297390727.7777777</v>
      </c>
      <c r="K61" s="70">
        <v>1401181986</v>
      </c>
      <c r="L61" s="70"/>
      <c r="M61" s="70">
        <f t="shared" si="26"/>
        <v>1115756025.8888888</v>
      </c>
      <c r="N61" s="261">
        <v>0.14000000000000001</v>
      </c>
      <c r="O61" s="37">
        <f t="shared" si="27"/>
        <v>181634701.8888889</v>
      </c>
      <c r="P61" s="13" t="s">
        <v>210</v>
      </c>
      <c r="Q61" s="7" t="str">
        <f>VLOOKUP('Data Doanh số'!P61,'DROPDOWNDATA-NOFILL'!$A$1:$B$40,2,FALSE)</f>
        <v>BU 3</v>
      </c>
      <c r="R61" s="7" t="s">
        <v>34</v>
      </c>
      <c r="S61" s="7" t="s">
        <v>44</v>
      </c>
      <c r="T61" s="7" t="s">
        <v>45</v>
      </c>
      <c r="U61" s="7" t="s">
        <v>46</v>
      </c>
      <c r="V61" s="31"/>
      <c r="W61" s="8">
        <f t="shared" si="16"/>
        <v>2026</v>
      </c>
      <c r="X61" s="8">
        <f t="shared" si="17"/>
        <v>3</v>
      </c>
      <c r="Y61" s="83">
        <f t="shared" si="18"/>
        <v>20</v>
      </c>
      <c r="Z61" s="83" t="str">
        <f t="shared" si="19"/>
        <v>W3</v>
      </c>
      <c r="AA61" s="83" t="str">
        <f t="shared" si="20"/>
        <v>Quý I</v>
      </c>
      <c r="AB61" s="80" t="str">
        <f t="shared" si="24"/>
        <v>Reference</v>
      </c>
      <c r="AC61" s="7"/>
    </row>
    <row r="62" spans="1:29" x14ac:dyDescent="0.2">
      <c r="A62" s="7">
        <f t="shared" si="23"/>
        <v>61</v>
      </c>
      <c r="B62" s="7"/>
      <c r="C62" s="10" t="s">
        <v>211</v>
      </c>
      <c r="D62" s="31">
        <v>46102</v>
      </c>
      <c r="E62" s="12" t="s">
        <v>211</v>
      </c>
      <c r="F62" s="350" t="s">
        <v>117</v>
      </c>
      <c r="G62" s="12" t="s">
        <v>117</v>
      </c>
      <c r="H62" s="12"/>
      <c r="I62" s="351" t="s">
        <v>74</v>
      </c>
      <c r="J62" s="35">
        <f>+K62/1.08</f>
        <v>15359383.333333332</v>
      </c>
      <c r="K62" s="70">
        <v>16588134</v>
      </c>
      <c r="L62" s="70"/>
      <c r="M62" s="70"/>
      <c r="N62" s="261"/>
      <c r="O62" s="37"/>
      <c r="P62" s="13" t="s">
        <v>180</v>
      </c>
      <c r="Q62" s="7" t="str">
        <f>VLOOKUP('Data Doanh số'!P62,'DROPDOWNDATA-NOFILL'!$A$1:$B$40,2,FALSE)</f>
        <v>TMĐT</v>
      </c>
      <c r="R62" s="7" t="s">
        <v>34</v>
      </c>
      <c r="S62" s="7" t="s">
        <v>44</v>
      </c>
      <c r="T62" s="7" t="s">
        <v>45</v>
      </c>
      <c r="U62" s="7" t="s">
        <v>46</v>
      </c>
      <c r="V62" s="31"/>
      <c r="W62" s="8">
        <f t="shared" si="16"/>
        <v>2026</v>
      </c>
      <c r="X62" s="8">
        <f t="shared" si="17"/>
        <v>3</v>
      </c>
      <c r="Y62" s="83">
        <f t="shared" si="18"/>
        <v>21</v>
      </c>
      <c r="Z62" s="83" t="str">
        <f t="shared" si="19"/>
        <v>W3</v>
      </c>
      <c r="AA62" s="83" t="str">
        <f t="shared" si="20"/>
        <v>Quý I</v>
      </c>
      <c r="AB62" s="80" t="str">
        <f t="shared" si="24"/>
        <v>TMĐT</v>
      </c>
      <c r="AC62" s="124"/>
    </row>
    <row r="63" spans="1:29" x14ac:dyDescent="0.2">
      <c r="A63" s="7">
        <f t="shared" si="23"/>
        <v>62</v>
      </c>
      <c r="B63" s="7" t="str">
        <f t="shared" ref="B63:B71" si="28">LEFT(C63,12)</f>
        <v>29B2C2603004</v>
      </c>
      <c r="C63" s="10" t="s">
        <v>212</v>
      </c>
      <c r="D63" s="31">
        <v>46104</v>
      </c>
      <c r="E63" s="12" t="s">
        <v>213</v>
      </c>
      <c r="F63" s="350" t="s">
        <v>40</v>
      </c>
      <c r="G63" s="7" t="s">
        <v>40</v>
      </c>
      <c r="H63" s="7"/>
      <c r="I63" s="351" t="s">
        <v>51</v>
      </c>
      <c r="J63" s="35">
        <v>30971411</v>
      </c>
      <c r="K63" s="70">
        <v>33449124</v>
      </c>
      <c r="L63" s="70"/>
      <c r="M63" s="70">
        <f t="shared" ref="M63:M71" si="29">J63-J63*N63</f>
        <v>22918844.140000001</v>
      </c>
      <c r="N63" s="261">
        <v>0.26</v>
      </c>
      <c r="O63" s="37">
        <f t="shared" ref="O63:O71" si="30">+N63*J63</f>
        <v>8052566.8600000003</v>
      </c>
      <c r="P63" s="13" t="s">
        <v>140</v>
      </c>
      <c r="Q63" s="7" t="str">
        <f>VLOOKUP('Data Doanh số'!P63,'DROPDOWNDATA-NOFILL'!$A$1:$B$40,2,FALSE)</f>
        <v>BU 1</v>
      </c>
      <c r="R63" s="7" t="s">
        <v>34</v>
      </c>
      <c r="S63" s="7" t="s">
        <v>44</v>
      </c>
      <c r="T63" s="7" t="s">
        <v>45</v>
      </c>
      <c r="U63" s="7" t="s">
        <v>46</v>
      </c>
      <c r="V63" s="31">
        <v>46083</v>
      </c>
      <c r="W63" s="8">
        <f t="shared" si="16"/>
        <v>2026</v>
      </c>
      <c r="X63" s="8">
        <f t="shared" si="17"/>
        <v>3</v>
      </c>
      <c r="Y63" s="83">
        <f t="shared" si="18"/>
        <v>23</v>
      </c>
      <c r="Z63" s="83" t="str">
        <f t="shared" si="19"/>
        <v>W4</v>
      </c>
      <c r="AA63" s="83" t="str">
        <f t="shared" si="20"/>
        <v>Quý I</v>
      </c>
      <c r="AB63" s="80" t="str">
        <f t="shared" si="24"/>
        <v>MKT</v>
      </c>
      <c r="AC63" s="7"/>
    </row>
    <row r="64" spans="1:29" x14ac:dyDescent="0.2">
      <c r="A64" s="7">
        <f t="shared" si="23"/>
        <v>63</v>
      </c>
      <c r="B64" s="7" t="str">
        <f t="shared" si="28"/>
        <v>29B2C2603021</v>
      </c>
      <c r="C64" s="10" t="s">
        <v>214</v>
      </c>
      <c r="D64" s="31">
        <v>46104</v>
      </c>
      <c r="E64" s="12" t="s">
        <v>215</v>
      </c>
      <c r="F64" s="12" t="s">
        <v>133</v>
      </c>
      <c r="G64" s="124" t="s">
        <v>31</v>
      </c>
      <c r="H64" s="124"/>
      <c r="I64" s="7" t="s">
        <v>41</v>
      </c>
      <c r="J64" s="35">
        <v>2777778</v>
      </c>
      <c r="K64" s="70">
        <v>3000000</v>
      </c>
      <c r="L64" s="70"/>
      <c r="M64" s="70">
        <f t="shared" si="29"/>
        <v>1944444.6</v>
      </c>
      <c r="N64" s="261">
        <v>0.3</v>
      </c>
      <c r="O64" s="37">
        <f t="shared" si="30"/>
        <v>833333.4</v>
      </c>
      <c r="P64" s="13" t="s">
        <v>153</v>
      </c>
      <c r="Q64" s="7" t="str">
        <f>VLOOKUP('Data Doanh số'!P64,'DROPDOWNDATA-NOFILL'!$A$1:$B$40,2,FALSE)</f>
        <v>BU 2</v>
      </c>
      <c r="R64" s="7" t="s">
        <v>60</v>
      </c>
      <c r="S64" s="7" t="s">
        <v>44</v>
      </c>
      <c r="T64" s="7" t="s">
        <v>216</v>
      </c>
      <c r="U64" s="7" t="s">
        <v>46</v>
      </c>
      <c r="V64" s="31">
        <v>46104</v>
      </c>
      <c r="W64" s="8">
        <f t="shared" si="16"/>
        <v>2026</v>
      </c>
      <c r="X64" s="8">
        <f t="shared" si="17"/>
        <v>3</v>
      </c>
      <c r="Y64" s="83">
        <f t="shared" si="18"/>
        <v>23</v>
      </c>
      <c r="Z64" s="83" t="str">
        <f t="shared" si="19"/>
        <v>W4</v>
      </c>
      <c r="AA64" s="83" t="str">
        <f t="shared" si="20"/>
        <v>Quý I</v>
      </c>
      <c r="AB64" s="80" t="str">
        <f t="shared" si="24"/>
        <v>Customer</v>
      </c>
      <c r="AC64" s="81"/>
    </row>
    <row r="65" spans="1:30" s="14" customFormat="1" ht="45" x14ac:dyDescent="0.2">
      <c r="A65" s="7">
        <f t="shared" si="23"/>
        <v>64</v>
      </c>
      <c r="B65" s="7" t="str">
        <f t="shared" si="28"/>
        <v>29B2C2603016</v>
      </c>
      <c r="C65" s="10" t="s">
        <v>217</v>
      </c>
      <c r="D65" s="31">
        <v>46105</v>
      </c>
      <c r="E65" s="12" t="s">
        <v>218</v>
      </c>
      <c r="F65" s="12" t="s">
        <v>133</v>
      </c>
      <c r="G65" s="7" t="s">
        <v>133</v>
      </c>
      <c r="H65" s="7"/>
      <c r="I65" s="7" t="s">
        <v>41</v>
      </c>
      <c r="J65" s="35">
        <v>2777778</v>
      </c>
      <c r="K65" s="70">
        <v>3000000</v>
      </c>
      <c r="L65" s="70"/>
      <c r="M65" s="70">
        <f t="shared" si="29"/>
        <v>1944444.6</v>
      </c>
      <c r="N65" s="261">
        <v>0.3</v>
      </c>
      <c r="O65" s="37">
        <f t="shared" si="30"/>
        <v>833333.4</v>
      </c>
      <c r="P65" s="13" t="s">
        <v>71</v>
      </c>
      <c r="Q65" s="7" t="str">
        <f>VLOOKUP('Data Doanh số'!P65,'DROPDOWNDATA-NOFILL'!$A$1:$B$40,2,FALSE)</f>
        <v>BU 1</v>
      </c>
      <c r="R65" s="7" t="s">
        <v>34</v>
      </c>
      <c r="S65" s="7" t="s">
        <v>35</v>
      </c>
      <c r="T65" s="7" t="s">
        <v>45</v>
      </c>
      <c r="U65" s="7" t="s">
        <v>219</v>
      </c>
      <c r="V65" s="31">
        <v>46105</v>
      </c>
      <c r="W65" s="8">
        <f t="shared" si="16"/>
        <v>2026</v>
      </c>
      <c r="X65" s="8">
        <f t="shared" si="17"/>
        <v>3</v>
      </c>
      <c r="Y65" s="83">
        <f t="shared" si="18"/>
        <v>24</v>
      </c>
      <c r="Z65" s="83" t="str">
        <f t="shared" si="19"/>
        <v>W4</v>
      </c>
      <c r="AA65" s="83" t="str">
        <f t="shared" si="20"/>
        <v>Quý I</v>
      </c>
      <c r="AB65" s="80" t="str">
        <f t="shared" si="24"/>
        <v>Sale tự kiếm</v>
      </c>
      <c r="AC65" s="7"/>
    </row>
    <row r="66" spans="1:30" x14ac:dyDescent="0.2">
      <c r="A66" s="7">
        <f t="shared" si="23"/>
        <v>65</v>
      </c>
      <c r="B66" s="7" t="str">
        <f t="shared" si="28"/>
        <v>29B2B2603001</v>
      </c>
      <c r="C66" s="10" t="s">
        <v>220</v>
      </c>
      <c r="D66" s="31">
        <v>46107</v>
      </c>
      <c r="E66" s="12" t="s">
        <v>221</v>
      </c>
      <c r="F66" s="12" t="s">
        <v>165</v>
      </c>
      <c r="G66" s="7" t="s">
        <v>165</v>
      </c>
      <c r="H66" s="7"/>
      <c r="I66" s="7" t="s">
        <v>32</v>
      </c>
      <c r="J66" s="35">
        <f>+K66/1.08</f>
        <v>20555555.555555556</v>
      </c>
      <c r="K66" s="70">
        <v>22200000</v>
      </c>
      <c r="L66" s="37"/>
      <c r="M66" s="70">
        <f t="shared" si="29"/>
        <v>14800000</v>
      </c>
      <c r="N66" s="261">
        <v>0.28000000000000003</v>
      </c>
      <c r="O66" s="37">
        <f t="shared" si="30"/>
        <v>5755555.555555556</v>
      </c>
      <c r="P66" s="13" t="s">
        <v>153</v>
      </c>
      <c r="Q66" s="7" t="str">
        <f>VLOOKUP('Data Doanh số'!P66,'DROPDOWNDATA-NOFILL'!$A$1:$B$40,2,FALSE)</f>
        <v>BU 2</v>
      </c>
      <c r="R66" s="7" t="s">
        <v>34</v>
      </c>
      <c r="S66" s="7" t="s">
        <v>35</v>
      </c>
      <c r="T66" s="7" t="s">
        <v>45</v>
      </c>
      <c r="U66" s="7" t="s">
        <v>37</v>
      </c>
      <c r="V66" s="31">
        <v>46101</v>
      </c>
      <c r="W66" s="8">
        <f t="shared" si="16"/>
        <v>2026</v>
      </c>
      <c r="X66" s="8">
        <f t="shared" si="17"/>
        <v>3</v>
      </c>
      <c r="Y66" s="83">
        <f t="shared" ref="Y66:Y97" si="31">DAY(D66)</f>
        <v>26</v>
      </c>
      <c r="Z66" s="83" t="str">
        <f t="shared" ref="Z66:Z97" si="32">"W"&amp;WEEKNUM(D66)-WEEKNUM(EOMONTH(D66,-1)+1)+1</f>
        <v>W4</v>
      </c>
      <c r="AA66" s="83" t="str">
        <f t="shared" si="20"/>
        <v>Quý I</v>
      </c>
      <c r="AB66" s="80" t="str">
        <f t="shared" si="24"/>
        <v>MKT</v>
      </c>
      <c r="AC66" s="81"/>
      <c r="AD66" s="14"/>
    </row>
    <row r="67" spans="1:30" x14ac:dyDescent="0.2">
      <c r="A67" s="7">
        <f t="shared" si="23"/>
        <v>66</v>
      </c>
      <c r="B67" s="7" t="str">
        <f t="shared" si="28"/>
        <v>15B2C2603025</v>
      </c>
      <c r="C67" s="10" t="s">
        <v>222</v>
      </c>
      <c r="D67" s="31">
        <v>46108</v>
      </c>
      <c r="E67" s="12" t="s">
        <v>223</v>
      </c>
      <c r="F67" s="12" t="s">
        <v>133</v>
      </c>
      <c r="G67" s="7" t="s">
        <v>133</v>
      </c>
      <c r="H67" s="7"/>
      <c r="I67" s="7" t="s">
        <v>51</v>
      </c>
      <c r="J67" s="35">
        <v>36240875</v>
      </c>
      <c r="K67" s="70">
        <v>39140145</v>
      </c>
      <c r="L67" s="70"/>
      <c r="M67" s="70">
        <f t="shared" si="29"/>
        <v>25368612.5</v>
      </c>
      <c r="N67" s="261">
        <v>0.3</v>
      </c>
      <c r="O67" s="37">
        <f t="shared" si="30"/>
        <v>10872262.5</v>
      </c>
      <c r="P67" s="13" t="s">
        <v>83</v>
      </c>
      <c r="Q67" s="7" t="str">
        <f>VLOOKUP('Data Doanh số'!P67,'DROPDOWNDATA-NOFILL'!$A$1:$B$40,2,FALSE)</f>
        <v>BU 1</v>
      </c>
      <c r="R67" s="7" t="s">
        <v>34</v>
      </c>
      <c r="S67" s="7" t="s">
        <v>44</v>
      </c>
      <c r="T67" s="7" t="s">
        <v>75</v>
      </c>
      <c r="U67" s="7" t="s">
        <v>65</v>
      </c>
      <c r="V67" s="31">
        <v>46107</v>
      </c>
      <c r="W67" s="8">
        <f t="shared" si="16"/>
        <v>2026</v>
      </c>
      <c r="X67" s="8">
        <f t="shared" si="17"/>
        <v>3</v>
      </c>
      <c r="Y67" s="83">
        <f t="shared" si="31"/>
        <v>27</v>
      </c>
      <c r="Z67" s="83" t="str">
        <f t="shared" si="32"/>
        <v>W4</v>
      </c>
      <c r="AA67" s="83" t="str">
        <f t="shared" si="20"/>
        <v>Quý I</v>
      </c>
      <c r="AB67" s="80" t="str">
        <f t="shared" si="24"/>
        <v>Sale tự kiếm</v>
      </c>
      <c r="AC67" s="81"/>
      <c r="AD67" s="14"/>
    </row>
    <row r="68" spans="1:30" x14ac:dyDescent="0.2">
      <c r="A68" s="7">
        <f t="shared" si="23"/>
        <v>67</v>
      </c>
      <c r="B68" s="7" t="str">
        <f t="shared" si="28"/>
        <v>51B2C2603028</v>
      </c>
      <c r="C68" s="10" t="s">
        <v>224</v>
      </c>
      <c r="D68" s="31">
        <v>46109</v>
      </c>
      <c r="E68" s="12" t="s">
        <v>225</v>
      </c>
      <c r="F68" s="12" t="s">
        <v>40</v>
      </c>
      <c r="G68" s="7" t="s">
        <v>40</v>
      </c>
      <c r="H68" s="7"/>
      <c r="I68" s="7" t="s">
        <v>41</v>
      </c>
      <c r="J68" s="35">
        <v>9000000</v>
      </c>
      <c r="K68" s="70">
        <v>9720000</v>
      </c>
      <c r="L68" s="70"/>
      <c r="M68" s="70">
        <f t="shared" si="29"/>
        <v>6300000</v>
      </c>
      <c r="N68" s="261">
        <v>0.3</v>
      </c>
      <c r="O68" s="37">
        <f t="shared" si="30"/>
        <v>2700000</v>
      </c>
      <c r="P68" s="13" t="s">
        <v>226</v>
      </c>
      <c r="Q68" s="7" t="str">
        <f>VLOOKUP('Data Doanh số'!P68,'DROPDOWNDATA-NOFILL'!$A$1:$B$40,2,FALSE)</f>
        <v>BU HCM</v>
      </c>
      <c r="R68" s="7" t="s">
        <v>34</v>
      </c>
      <c r="S68" s="7" t="s">
        <v>44</v>
      </c>
      <c r="T68" s="7" t="s">
        <v>99</v>
      </c>
      <c r="U68" s="7" t="s">
        <v>65</v>
      </c>
      <c r="V68" s="31">
        <v>46102</v>
      </c>
      <c r="W68" s="8">
        <f t="shared" si="16"/>
        <v>2026</v>
      </c>
      <c r="X68" s="8">
        <f t="shared" si="17"/>
        <v>3</v>
      </c>
      <c r="Y68" s="83">
        <f t="shared" si="31"/>
        <v>28</v>
      </c>
      <c r="Z68" s="83" t="str">
        <f t="shared" si="32"/>
        <v>W4</v>
      </c>
      <c r="AA68" s="83" t="str">
        <f t="shared" si="20"/>
        <v>Quý I</v>
      </c>
      <c r="AB68" s="80" t="str">
        <f t="shared" si="24"/>
        <v>MKT</v>
      </c>
      <c r="AC68" s="81"/>
      <c r="AD68" s="14"/>
    </row>
    <row r="69" spans="1:30" x14ac:dyDescent="0.2">
      <c r="A69" s="7">
        <f t="shared" si="23"/>
        <v>68</v>
      </c>
      <c r="B69" s="7" t="str">
        <f t="shared" si="28"/>
        <v>51B2B2603026</v>
      </c>
      <c r="C69" s="10" t="s">
        <v>227</v>
      </c>
      <c r="D69" s="31">
        <v>46110</v>
      </c>
      <c r="E69" s="12" t="s">
        <v>228</v>
      </c>
      <c r="F69" s="12" t="s">
        <v>31</v>
      </c>
      <c r="G69" s="12" t="s">
        <v>31</v>
      </c>
      <c r="H69" s="12"/>
      <c r="I69" s="7" t="s">
        <v>41</v>
      </c>
      <c r="J69" s="35">
        <v>76963000</v>
      </c>
      <c r="K69" s="70">
        <f>+J69*1.08</f>
        <v>83120040</v>
      </c>
      <c r="L69" s="37"/>
      <c r="M69" s="70">
        <f t="shared" si="29"/>
        <v>61570400</v>
      </c>
      <c r="N69" s="261">
        <v>0.2</v>
      </c>
      <c r="O69" s="37">
        <f t="shared" si="30"/>
        <v>15392600</v>
      </c>
      <c r="P69" s="13" t="s">
        <v>229</v>
      </c>
      <c r="Q69" s="7" t="str">
        <f>VLOOKUP('Data Doanh số'!P69,'DROPDOWNDATA-NOFILL'!$A$1:$B$40,2,FALSE)</f>
        <v>BU HCM</v>
      </c>
      <c r="R69" s="7" t="s">
        <v>60</v>
      </c>
      <c r="S69" s="7" t="s">
        <v>35</v>
      </c>
      <c r="T69" s="7" t="s">
        <v>99</v>
      </c>
      <c r="U69" s="7" t="s">
        <v>37</v>
      </c>
      <c r="V69" s="31"/>
      <c r="W69" s="8">
        <v>2026</v>
      </c>
      <c r="X69" s="8">
        <v>3</v>
      </c>
      <c r="Y69" s="83">
        <f t="shared" si="31"/>
        <v>29</v>
      </c>
      <c r="Z69" s="83" t="str">
        <f t="shared" si="32"/>
        <v>W5</v>
      </c>
      <c r="AA69" s="83" t="s">
        <v>230</v>
      </c>
      <c r="AB69" s="80" t="str">
        <f t="shared" si="24"/>
        <v>Customer</v>
      </c>
      <c r="AC69" s="7"/>
    </row>
    <row r="70" spans="1:30" s="14" customFormat="1" x14ac:dyDescent="0.2">
      <c r="A70" s="7">
        <f t="shared" si="23"/>
        <v>69</v>
      </c>
      <c r="B70" s="7" t="str">
        <f t="shared" si="28"/>
        <v>51B2B2603027</v>
      </c>
      <c r="C70" s="10" t="s">
        <v>231</v>
      </c>
      <c r="D70" s="31">
        <v>46111</v>
      </c>
      <c r="E70" s="12" t="s">
        <v>232</v>
      </c>
      <c r="F70" s="12" t="s">
        <v>31</v>
      </c>
      <c r="G70" s="12" t="s">
        <v>31</v>
      </c>
      <c r="H70" s="12"/>
      <c r="I70" s="7" t="s">
        <v>51</v>
      </c>
      <c r="J70" s="35">
        <v>7826111986.1111107</v>
      </c>
      <c r="K70" s="70">
        <v>8452200945</v>
      </c>
      <c r="L70" s="70"/>
      <c r="M70" s="70">
        <f t="shared" si="29"/>
        <v>6417411828.6111107</v>
      </c>
      <c r="N70" s="261">
        <v>0.18</v>
      </c>
      <c r="O70" s="37">
        <f t="shared" si="30"/>
        <v>1408700157.4999998</v>
      </c>
      <c r="P70" s="13" t="s">
        <v>80</v>
      </c>
      <c r="Q70" s="7" t="str">
        <f>VLOOKUP('Data Doanh số'!P70,'DROPDOWNDATA-NOFILL'!$A$1:$B$40,2,FALSE)</f>
        <v>BU HCM</v>
      </c>
      <c r="R70" s="7" t="s">
        <v>60</v>
      </c>
      <c r="S70" s="7" t="s">
        <v>35</v>
      </c>
      <c r="T70" s="7" t="s">
        <v>233</v>
      </c>
      <c r="U70" s="7" t="s">
        <v>190</v>
      </c>
      <c r="V70" s="31">
        <v>46087</v>
      </c>
      <c r="W70" s="8">
        <f t="shared" ref="W70:W101" si="33">YEAR(D70)</f>
        <v>2026</v>
      </c>
      <c r="X70" s="8">
        <f t="shared" ref="X70:X101" si="34">MONTH(D70)</f>
        <v>3</v>
      </c>
      <c r="Y70" s="83">
        <f t="shared" si="31"/>
        <v>30</v>
      </c>
      <c r="Z70" s="83" t="str">
        <f t="shared" si="32"/>
        <v>W5</v>
      </c>
      <c r="AA70" s="83" t="str">
        <f t="shared" ref="AA70:AA101" si="35">"Quý "&amp;ROMAN(ROUNDUP(X70/3,0))</f>
        <v>Quý I</v>
      </c>
      <c r="AB70" s="80" t="str">
        <f t="shared" si="24"/>
        <v>Customer</v>
      </c>
      <c r="AC70" s="81"/>
    </row>
    <row r="71" spans="1:30" x14ac:dyDescent="0.2">
      <c r="A71" s="7">
        <f t="shared" si="23"/>
        <v>70</v>
      </c>
      <c r="B71" s="7" t="str">
        <f t="shared" si="28"/>
        <v>29B2C2603033</v>
      </c>
      <c r="C71" s="10" t="s">
        <v>234</v>
      </c>
      <c r="D71" s="31">
        <v>46111</v>
      </c>
      <c r="E71" s="12" t="s">
        <v>235</v>
      </c>
      <c r="F71" s="12" t="s">
        <v>40</v>
      </c>
      <c r="G71" s="7" t="s">
        <v>40</v>
      </c>
      <c r="H71" s="7"/>
      <c r="I71" s="7" t="s">
        <v>41</v>
      </c>
      <c r="J71" s="35">
        <v>23425926</v>
      </c>
      <c r="K71" s="70">
        <v>25300000</v>
      </c>
      <c r="L71" s="37"/>
      <c r="M71" s="70">
        <f t="shared" si="29"/>
        <v>16398148.199999999</v>
      </c>
      <c r="N71" s="261">
        <v>0.3</v>
      </c>
      <c r="O71" s="37">
        <f t="shared" si="30"/>
        <v>7027777.7999999998</v>
      </c>
      <c r="P71" s="13" t="s">
        <v>236</v>
      </c>
      <c r="Q71" s="7" t="str">
        <f>VLOOKUP('Data Doanh số'!P71,'DROPDOWNDATA-NOFILL'!$A$1:$B$40,2,FALSE)</f>
        <v>BU 2</v>
      </c>
      <c r="R71" s="7" t="s">
        <v>43</v>
      </c>
      <c r="S71" s="7" t="s">
        <v>44</v>
      </c>
      <c r="T71" s="7" t="s">
        <v>45</v>
      </c>
      <c r="U71" s="7" t="s">
        <v>46</v>
      </c>
      <c r="V71" s="31">
        <v>46081</v>
      </c>
      <c r="W71" s="8">
        <f t="shared" si="33"/>
        <v>2026</v>
      </c>
      <c r="X71" s="8">
        <f t="shared" si="34"/>
        <v>3</v>
      </c>
      <c r="Y71" s="83">
        <f t="shared" si="31"/>
        <v>30</v>
      </c>
      <c r="Z71" s="83" t="str">
        <f t="shared" si="32"/>
        <v>W5</v>
      </c>
      <c r="AA71" s="83" t="str">
        <f t="shared" si="35"/>
        <v>Quý I</v>
      </c>
      <c r="AB71" s="80" t="str">
        <f t="shared" si="24"/>
        <v>MKT</v>
      </c>
      <c r="AC71" s="7"/>
    </row>
    <row r="72" spans="1:30" x14ac:dyDescent="0.2">
      <c r="A72" s="7">
        <f t="shared" si="23"/>
        <v>71</v>
      </c>
      <c r="B72" s="7"/>
      <c r="C72" s="10" t="s">
        <v>237</v>
      </c>
      <c r="D72" s="31">
        <v>46112</v>
      </c>
      <c r="E72" s="12" t="s">
        <v>237</v>
      </c>
      <c r="F72" s="12" t="s">
        <v>117</v>
      </c>
      <c r="G72" s="12" t="s">
        <v>117</v>
      </c>
      <c r="H72" s="12"/>
      <c r="I72" s="7" t="s">
        <v>74</v>
      </c>
      <c r="J72" s="35">
        <f>+K72/1.08</f>
        <v>10936995.370370369</v>
      </c>
      <c r="K72" s="70">
        <v>11811955</v>
      </c>
      <c r="L72" s="37"/>
      <c r="M72" s="70"/>
      <c r="N72" s="261"/>
      <c r="O72" s="37"/>
      <c r="P72" s="13" t="s">
        <v>180</v>
      </c>
      <c r="Q72" s="7" t="str">
        <f>VLOOKUP('Data Doanh số'!P72,'DROPDOWNDATA-NOFILL'!$A$1:$B$40,2,FALSE)</f>
        <v>TMĐT</v>
      </c>
      <c r="R72" s="7" t="s">
        <v>34</v>
      </c>
      <c r="S72" s="7" t="s">
        <v>44</v>
      </c>
      <c r="T72" s="7" t="s">
        <v>45</v>
      </c>
      <c r="U72" s="7" t="s">
        <v>46</v>
      </c>
      <c r="V72" s="123"/>
      <c r="W72" s="8">
        <f t="shared" si="33"/>
        <v>2026</v>
      </c>
      <c r="X72" s="8">
        <f t="shared" si="34"/>
        <v>3</v>
      </c>
      <c r="Y72" s="83">
        <f t="shared" si="31"/>
        <v>31</v>
      </c>
      <c r="Z72" s="83" t="str">
        <f t="shared" si="32"/>
        <v>W5</v>
      </c>
      <c r="AA72" s="83" t="str">
        <f t="shared" si="35"/>
        <v>Quý I</v>
      </c>
      <c r="AB72" s="80" t="str">
        <f t="shared" si="24"/>
        <v>TMĐT</v>
      </c>
      <c r="AC72" s="7"/>
    </row>
    <row r="73" spans="1:30" x14ac:dyDescent="0.2">
      <c r="A73" s="7">
        <f t="shared" si="23"/>
        <v>72</v>
      </c>
      <c r="B73" s="7" t="str">
        <f t="shared" ref="B73:B82" si="36">LEFT(C73,12)</f>
        <v>51B2B2603026</v>
      </c>
      <c r="C73" s="10" t="s">
        <v>238</v>
      </c>
      <c r="D73" s="31">
        <v>46112</v>
      </c>
      <c r="E73" s="12" t="s">
        <v>228</v>
      </c>
      <c r="F73" s="12" t="s">
        <v>31</v>
      </c>
      <c r="G73" s="12" t="s">
        <v>31</v>
      </c>
      <c r="H73" s="12"/>
      <c r="I73" s="7" t="s">
        <v>51</v>
      </c>
      <c r="J73" s="35">
        <v>991921637</v>
      </c>
      <c r="K73" s="70">
        <f>+J73*1.08</f>
        <v>1071275367.96</v>
      </c>
      <c r="L73" s="37"/>
      <c r="M73" s="70">
        <f t="shared" ref="M73:M86" si="37">J73-J73*N73</f>
        <v>833214175.07999992</v>
      </c>
      <c r="N73" s="261">
        <v>0.16</v>
      </c>
      <c r="O73" s="37">
        <f t="shared" ref="O73:O86" si="38">+N73*J73</f>
        <v>158707461.92000002</v>
      </c>
      <c r="P73" s="13" t="s">
        <v>80</v>
      </c>
      <c r="Q73" s="7" t="str">
        <f>VLOOKUP('Data Doanh số'!P73,'DROPDOWNDATA-NOFILL'!$A$1:$B$40,2,FALSE)</f>
        <v>BU HCM</v>
      </c>
      <c r="R73" s="183" t="s">
        <v>60</v>
      </c>
      <c r="S73" s="7" t="s">
        <v>35</v>
      </c>
      <c r="T73" s="7" t="s">
        <v>99</v>
      </c>
      <c r="U73" s="7" t="s">
        <v>37</v>
      </c>
      <c r="V73" s="123"/>
      <c r="W73" s="8">
        <f t="shared" si="33"/>
        <v>2026</v>
      </c>
      <c r="X73" s="8">
        <f t="shared" si="34"/>
        <v>3</v>
      </c>
      <c r="Y73" s="83">
        <f t="shared" si="31"/>
        <v>31</v>
      </c>
      <c r="Z73" s="83" t="str">
        <f t="shared" si="32"/>
        <v>W5</v>
      </c>
      <c r="AA73" s="83" t="str">
        <f t="shared" si="35"/>
        <v>Quý I</v>
      </c>
      <c r="AB73" s="80" t="str">
        <f t="shared" si="24"/>
        <v>Customer</v>
      </c>
      <c r="AC73" s="7"/>
    </row>
    <row r="74" spans="1:30" x14ac:dyDescent="0.2">
      <c r="A74" s="7">
        <f t="shared" ref="A74:A105" si="39">ROW(C74)-1</f>
        <v>73</v>
      </c>
      <c r="B74" s="7" t="str">
        <f t="shared" si="36"/>
        <v>51B2B2603026</v>
      </c>
      <c r="C74" s="10" t="s">
        <v>239</v>
      </c>
      <c r="D74" s="31">
        <v>46112</v>
      </c>
      <c r="E74" s="12" t="s">
        <v>228</v>
      </c>
      <c r="F74" s="12" t="s">
        <v>31</v>
      </c>
      <c r="G74" s="12" t="s">
        <v>31</v>
      </c>
      <c r="H74" s="12"/>
      <c r="I74" s="7" t="s">
        <v>51</v>
      </c>
      <c r="J74" s="35">
        <v>991921637</v>
      </c>
      <c r="K74" s="70">
        <f>+J74*1.08</f>
        <v>1071275367.96</v>
      </c>
      <c r="L74" s="37"/>
      <c r="M74" s="70">
        <f t="shared" si="37"/>
        <v>833214175.07999992</v>
      </c>
      <c r="N74" s="261">
        <v>0.16</v>
      </c>
      <c r="O74" s="37">
        <f t="shared" si="38"/>
        <v>158707461.92000002</v>
      </c>
      <c r="P74" s="13" t="s">
        <v>105</v>
      </c>
      <c r="Q74" s="7" t="str">
        <f>VLOOKUP('Data Doanh số'!P74,'DROPDOWNDATA-NOFILL'!$A$1:$B$40,2,FALSE)</f>
        <v>BU 1</v>
      </c>
      <c r="R74" s="183" t="s">
        <v>60</v>
      </c>
      <c r="S74" s="7" t="s">
        <v>35</v>
      </c>
      <c r="T74" s="7" t="s">
        <v>99</v>
      </c>
      <c r="U74" s="7" t="s">
        <v>37</v>
      </c>
      <c r="V74" s="123"/>
      <c r="W74" s="8">
        <f t="shared" si="33"/>
        <v>2026</v>
      </c>
      <c r="X74" s="8">
        <f t="shared" si="34"/>
        <v>3</v>
      </c>
      <c r="Y74" s="83">
        <f t="shared" si="31"/>
        <v>31</v>
      </c>
      <c r="Z74" s="83" t="str">
        <f t="shared" si="32"/>
        <v>W5</v>
      </c>
      <c r="AA74" s="83" t="str">
        <f t="shared" si="35"/>
        <v>Quý I</v>
      </c>
      <c r="AB74" s="80" t="str">
        <f t="shared" si="24"/>
        <v>Customer</v>
      </c>
      <c r="AC74" s="7"/>
    </row>
    <row r="75" spans="1:30" x14ac:dyDescent="0.2">
      <c r="A75" s="7">
        <f t="shared" si="39"/>
        <v>74</v>
      </c>
      <c r="B75" s="7" t="str">
        <f t="shared" si="36"/>
        <v>15B2C2603025</v>
      </c>
      <c r="C75" s="10" t="s">
        <v>240</v>
      </c>
      <c r="D75" s="31">
        <v>46112</v>
      </c>
      <c r="E75" s="12" t="s">
        <v>241</v>
      </c>
      <c r="F75" s="12" t="s">
        <v>133</v>
      </c>
      <c r="G75" s="7" t="s">
        <v>133</v>
      </c>
      <c r="H75" s="7"/>
      <c r="I75" s="7" t="s">
        <v>51</v>
      </c>
      <c r="J75" s="35">
        <v>40674745</v>
      </c>
      <c r="K75" s="70">
        <v>43928725</v>
      </c>
      <c r="L75" s="37"/>
      <c r="M75" s="70">
        <f t="shared" si="37"/>
        <v>28472321.5</v>
      </c>
      <c r="N75" s="261">
        <v>0.3</v>
      </c>
      <c r="O75" s="37">
        <f t="shared" si="38"/>
        <v>12202423.5</v>
      </c>
      <c r="P75" s="13" t="s">
        <v>83</v>
      </c>
      <c r="Q75" s="7" t="str">
        <f>VLOOKUP('Data Doanh số'!P75,'DROPDOWNDATA-NOFILL'!$A$1:$B$40,2,FALSE)</f>
        <v>BU 1</v>
      </c>
      <c r="R75" s="7" t="s">
        <v>34</v>
      </c>
      <c r="S75" s="7" t="s">
        <v>44</v>
      </c>
      <c r="T75" s="7" t="s">
        <v>75</v>
      </c>
      <c r="U75" s="7" t="s">
        <v>65</v>
      </c>
      <c r="V75" s="123">
        <v>46107</v>
      </c>
      <c r="W75" s="8">
        <f t="shared" si="33"/>
        <v>2026</v>
      </c>
      <c r="X75" s="8">
        <f t="shared" si="34"/>
        <v>3</v>
      </c>
      <c r="Y75" s="83">
        <f t="shared" si="31"/>
        <v>31</v>
      </c>
      <c r="Z75" s="83" t="str">
        <f t="shared" si="32"/>
        <v>W5</v>
      </c>
      <c r="AA75" s="83" t="str">
        <f t="shared" si="35"/>
        <v>Quý I</v>
      </c>
      <c r="AB75" s="80" t="str">
        <f t="shared" si="24"/>
        <v>Sale tự kiếm</v>
      </c>
      <c r="AC75" s="7"/>
    </row>
    <row r="76" spans="1:30" x14ac:dyDescent="0.2">
      <c r="A76" s="7">
        <f t="shared" si="39"/>
        <v>75</v>
      </c>
      <c r="B76" s="7" t="str">
        <f t="shared" si="36"/>
        <v>29B2C2603018</v>
      </c>
      <c r="C76" s="10" t="s">
        <v>242</v>
      </c>
      <c r="D76" s="31">
        <v>46112</v>
      </c>
      <c r="E76" s="12" t="s">
        <v>243</v>
      </c>
      <c r="F76" s="12" t="s">
        <v>40</v>
      </c>
      <c r="G76" s="7" t="s">
        <v>40</v>
      </c>
      <c r="H76" s="7"/>
      <c r="I76" s="7" t="s">
        <v>51</v>
      </c>
      <c r="J76" s="35">
        <v>118341568</v>
      </c>
      <c r="K76" s="70">
        <v>127808893</v>
      </c>
      <c r="L76" s="37"/>
      <c r="M76" s="70">
        <f t="shared" si="37"/>
        <v>88756176</v>
      </c>
      <c r="N76" s="261">
        <v>0.25</v>
      </c>
      <c r="O76" s="37">
        <f t="shared" si="38"/>
        <v>29585392</v>
      </c>
      <c r="P76" s="13" t="s">
        <v>105</v>
      </c>
      <c r="Q76" s="7" t="str">
        <f>VLOOKUP('Data Doanh số'!P76,'DROPDOWNDATA-NOFILL'!$A$1:$B$40,2,FALSE)</f>
        <v>BU 1</v>
      </c>
      <c r="R76" s="183" t="s">
        <v>60</v>
      </c>
      <c r="S76" s="7" t="s">
        <v>44</v>
      </c>
      <c r="T76" s="7" t="s">
        <v>45</v>
      </c>
      <c r="U76" s="7" t="s">
        <v>65</v>
      </c>
      <c r="V76" s="123">
        <v>46093</v>
      </c>
      <c r="W76" s="8">
        <f t="shared" si="33"/>
        <v>2026</v>
      </c>
      <c r="X76" s="8">
        <f t="shared" si="34"/>
        <v>3</v>
      </c>
      <c r="Y76" s="83">
        <f t="shared" si="31"/>
        <v>31</v>
      </c>
      <c r="Z76" s="83" t="str">
        <f t="shared" si="32"/>
        <v>W5</v>
      </c>
      <c r="AA76" s="83" t="str">
        <f t="shared" si="35"/>
        <v>Quý I</v>
      </c>
      <c r="AB76" s="80" t="str">
        <f t="shared" si="24"/>
        <v>MKT</v>
      </c>
      <c r="AC76" s="7"/>
    </row>
    <row r="77" spans="1:30" x14ac:dyDescent="0.2">
      <c r="A77" s="7">
        <f t="shared" si="39"/>
        <v>76</v>
      </c>
      <c r="B77" s="7" t="str">
        <f t="shared" si="36"/>
        <v>29B2C2603030</v>
      </c>
      <c r="C77" s="10" t="s">
        <v>244</v>
      </c>
      <c r="D77" s="31">
        <v>46112</v>
      </c>
      <c r="E77" s="12" t="s">
        <v>245</v>
      </c>
      <c r="F77" s="12" t="s">
        <v>40</v>
      </c>
      <c r="G77" s="7" t="s">
        <v>40</v>
      </c>
      <c r="H77" s="7"/>
      <c r="I77" s="7" t="s">
        <v>41</v>
      </c>
      <c r="J77" s="35">
        <v>12222222</v>
      </c>
      <c r="K77" s="70">
        <v>13200000</v>
      </c>
      <c r="L77" s="37"/>
      <c r="M77" s="70">
        <f t="shared" si="37"/>
        <v>6111111</v>
      </c>
      <c r="N77" s="261">
        <v>0.5</v>
      </c>
      <c r="O77" s="37">
        <f t="shared" si="38"/>
        <v>6111111</v>
      </c>
      <c r="P77" s="13" t="s">
        <v>42</v>
      </c>
      <c r="Q77" s="7" t="str">
        <f>VLOOKUP('Data Doanh số'!P77,'DROPDOWNDATA-NOFILL'!$A$1:$B$40,2,FALSE)</f>
        <v>BU 1</v>
      </c>
      <c r="R77" s="7" t="s">
        <v>43</v>
      </c>
      <c r="S77" s="124" t="s">
        <v>44</v>
      </c>
      <c r="T77" s="124" t="s">
        <v>45</v>
      </c>
      <c r="U77" s="124" t="s">
        <v>46</v>
      </c>
      <c r="V77" s="31">
        <v>46089</v>
      </c>
      <c r="W77" s="8">
        <f t="shared" si="33"/>
        <v>2026</v>
      </c>
      <c r="X77" s="8">
        <f t="shared" si="34"/>
        <v>3</v>
      </c>
      <c r="Y77" s="83">
        <f t="shared" si="31"/>
        <v>31</v>
      </c>
      <c r="Z77" s="83" t="str">
        <f t="shared" si="32"/>
        <v>W5</v>
      </c>
      <c r="AA77" s="83" t="str">
        <f t="shared" si="35"/>
        <v>Quý I</v>
      </c>
      <c r="AB77" s="80" t="str">
        <f t="shared" si="24"/>
        <v>MKT</v>
      </c>
      <c r="AC77" s="7"/>
    </row>
    <row r="78" spans="1:30" x14ac:dyDescent="0.2">
      <c r="A78" s="7">
        <f t="shared" si="39"/>
        <v>77</v>
      </c>
      <c r="B78" s="7" t="str">
        <f t="shared" si="36"/>
        <v>29B2C2604002</v>
      </c>
      <c r="C78" s="10" t="s">
        <v>246</v>
      </c>
      <c r="D78" s="31">
        <v>46114</v>
      </c>
      <c r="E78" s="12" t="s">
        <v>247</v>
      </c>
      <c r="F78" s="12" t="s">
        <v>40</v>
      </c>
      <c r="G78" s="7" t="s">
        <v>40</v>
      </c>
      <c r="H78" s="7"/>
      <c r="I78" s="7" t="s">
        <v>41</v>
      </c>
      <c r="J78" s="35">
        <v>9833333</v>
      </c>
      <c r="K78" s="70">
        <v>10620000</v>
      </c>
      <c r="L78" s="37"/>
      <c r="M78" s="70">
        <f t="shared" si="37"/>
        <v>3933333.2</v>
      </c>
      <c r="N78" s="262">
        <v>0.6</v>
      </c>
      <c r="O78" s="37">
        <f t="shared" si="38"/>
        <v>5899999.7999999998</v>
      </c>
      <c r="P78" s="13" t="s">
        <v>59</v>
      </c>
      <c r="Q78" s="7" t="str">
        <f>VLOOKUP('Data Doanh số'!P78,'DROPDOWNDATA-NOFILL'!$A$1:$B$40,2,FALSE)</f>
        <v>BU 3</v>
      </c>
      <c r="R78" s="7" t="s">
        <v>34</v>
      </c>
      <c r="S78" s="7" t="s">
        <v>44</v>
      </c>
      <c r="T78" s="7" t="s">
        <v>248</v>
      </c>
      <c r="U78" s="7" t="s">
        <v>46</v>
      </c>
      <c r="V78" s="31">
        <v>46111</v>
      </c>
      <c r="W78" s="8">
        <f t="shared" si="33"/>
        <v>2026</v>
      </c>
      <c r="X78" s="8">
        <f t="shared" si="34"/>
        <v>4</v>
      </c>
      <c r="Y78" s="83">
        <f t="shared" si="31"/>
        <v>2</v>
      </c>
      <c r="Z78" s="83" t="str">
        <f t="shared" si="32"/>
        <v>W1</v>
      </c>
      <c r="AA78" s="83" t="str">
        <f t="shared" si="35"/>
        <v>Quý II</v>
      </c>
      <c r="AB78" s="80" t="str">
        <f t="shared" si="24"/>
        <v>MKT</v>
      </c>
      <c r="AC78" s="7"/>
    </row>
    <row r="79" spans="1:30" x14ac:dyDescent="0.2">
      <c r="A79" s="7">
        <f t="shared" si="39"/>
        <v>78</v>
      </c>
      <c r="B79" s="7" t="str">
        <f t="shared" si="36"/>
        <v>29B2C2604003</v>
      </c>
      <c r="C79" s="10" t="s">
        <v>249</v>
      </c>
      <c r="D79" s="31">
        <v>46115</v>
      </c>
      <c r="E79" s="12" t="s">
        <v>250</v>
      </c>
      <c r="F79" s="12" t="s">
        <v>40</v>
      </c>
      <c r="G79" s="7" t="s">
        <v>40</v>
      </c>
      <c r="H79" s="7"/>
      <c r="I79" s="7" t="s">
        <v>41</v>
      </c>
      <c r="J79" s="35">
        <v>4796296</v>
      </c>
      <c r="K79" s="70">
        <v>5180000</v>
      </c>
      <c r="L79" s="37"/>
      <c r="M79" s="70">
        <f t="shared" si="37"/>
        <v>1918518.4</v>
      </c>
      <c r="N79" s="262">
        <v>0.6</v>
      </c>
      <c r="O79" s="37">
        <f t="shared" si="38"/>
        <v>2877777.6</v>
      </c>
      <c r="P79" s="13" t="s">
        <v>130</v>
      </c>
      <c r="Q79" s="7" t="str">
        <f>VLOOKUP('Data Doanh số'!P79,'DROPDOWNDATA-NOFILL'!$A$1:$B$40,2,FALSE)</f>
        <v>BU 3</v>
      </c>
      <c r="R79" s="7" t="s">
        <v>60</v>
      </c>
      <c r="S79" s="7" t="s">
        <v>44</v>
      </c>
      <c r="T79" s="7" t="s">
        <v>45</v>
      </c>
      <c r="U79" s="7" t="s">
        <v>65</v>
      </c>
      <c r="V79" s="31">
        <v>46113</v>
      </c>
      <c r="W79" s="8">
        <f t="shared" si="33"/>
        <v>2026</v>
      </c>
      <c r="X79" s="8">
        <f t="shared" si="34"/>
        <v>4</v>
      </c>
      <c r="Y79" s="83">
        <f t="shared" si="31"/>
        <v>3</v>
      </c>
      <c r="Z79" s="83" t="str">
        <f t="shared" si="32"/>
        <v>W1</v>
      </c>
      <c r="AA79" s="83" t="str">
        <f t="shared" si="35"/>
        <v>Quý II</v>
      </c>
      <c r="AB79" s="80" t="str">
        <f t="shared" si="24"/>
        <v>MKT</v>
      </c>
      <c r="AC79" s="7"/>
    </row>
    <row r="80" spans="1:30" x14ac:dyDescent="0.2">
      <c r="A80" s="7">
        <f t="shared" si="39"/>
        <v>79</v>
      </c>
      <c r="B80" s="7" t="str">
        <f t="shared" si="36"/>
        <v>29B2C2604001</v>
      </c>
      <c r="C80" s="10" t="s">
        <v>251</v>
      </c>
      <c r="D80" s="31">
        <v>46115</v>
      </c>
      <c r="E80" s="12" t="s">
        <v>252</v>
      </c>
      <c r="F80" s="7" t="s">
        <v>79</v>
      </c>
      <c r="G80" s="7" t="s">
        <v>79</v>
      </c>
      <c r="H80" s="7"/>
      <c r="I80" s="7" t="s">
        <v>41</v>
      </c>
      <c r="J80" s="35">
        <f>+K80/1.08</f>
        <v>87795679.012345672</v>
      </c>
      <c r="K80" s="70">
        <f>142229000*2/3</f>
        <v>94819333.333333328</v>
      </c>
      <c r="L80" s="37"/>
      <c r="M80" s="70">
        <f t="shared" si="37"/>
        <v>57067191.358024687</v>
      </c>
      <c r="N80" s="262">
        <v>0.35</v>
      </c>
      <c r="O80" s="37">
        <f t="shared" si="38"/>
        <v>30728487.654320981</v>
      </c>
      <c r="P80" s="13" t="s">
        <v>210</v>
      </c>
      <c r="Q80" s="7" t="str">
        <f>VLOOKUP('Data Doanh số'!P80,'DROPDOWNDATA-NOFILL'!$A$1:$B$40,2,FALSE)</f>
        <v>BU 3</v>
      </c>
      <c r="R80" s="7" t="s">
        <v>43</v>
      </c>
      <c r="S80" s="7" t="s">
        <v>35</v>
      </c>
      <c r="T80" s="7" t="s">
        <v>45</v>
      </c>
      <c r="U80" s="7" t="s">
        <v>76</v>
      </c>
      <c r="V80" s="31">
        <v>46107</v>
      </c>
      <c r="W80" s="8">
        <f t="shared" si="33"/>
        <v>2026</v>
      </c>
      <c r="X80" s="8">
        <f t="shared" si="34"/>
        <v>4</v>
      </c>
      <c r="Y80" s="83">
        <f t="shared" si="31"/>
        <v>3</v>
      </c>
      <c r="Z80" s="83" t="str">
        <f t="shared" si="32"/>
        <v>W1</v>
      </c>
      <c r="AA80" s="83" t="str">
        <f t="shared" si="35"/>
        <v>Quý II</v>
      </c>
      <c r="AB80" s="80" t="str">
        <f t="shared" si="24"/>
        <v>Reference</v>
      </c>
      <c r="AC80" s="7"/>
    </row>
    <row r="81" spans="1:29" x14ac:dyDescent="0.2">
      <c r="A81" s="7">
        <f t="shared" si="39"/>
        <v>80</v>
      </c>
      <c r="B81" s="7" t="str">
        <f t="shared" si="36"/>
        <v>29B2C2603024</v>
      </c>
      <c r="C81" s="10" t="s">
        <v>253</v>
      </c>
      <c r="D81" s="31">
        <v>46116</v>
      </c>
      <c r="E81" s="12" t="s">
        <v>254</v>
      </c>
      <c r="F81" s="12" t="s">
        <v>146</v>
      </c>
      <c r="G81" s="7" t="s">
        <v>102</v>
      </c>
      <c r="H81" s="7"/>
      <c r="I81" s="7" t="s">
        <v>41</v>
      </c>
      <c r="J81" s="35">
        <v>24148148</v>
      </c>
      <c r="K81" s="70">
        <v>26080000</v>
      </c>
      <c r="L81" s="37"/>
      <c r="M81" s="70">
        <f t="shared" si="37"/>
        <v>9659259.2000000011</v>
      </c>
      <c r="N81" s="262">
        <v>0.6</v>
      </c>
      <c r="O81" s="37">
        <f t="shared" si="38"/>
        <v>14488888.799999999</v>
      </c>
      <c r="P81" s="13" t="s">
        <v>170</v>
      </c>
      <c r="Q81" s="7" t="str">
        <f>VLOOKUP('Data Doanh số'!P81,'DROPDOWNDATA-NOFILL'!$A$1:$B$40,2,FALSE)</f>
        <v>BU 3</v>
      </c>
      <c r="R81" s="7" t="s">
        <v>34</v>
      </c>
      <c r="S81" s="7" t="s">
        <v>44</v>
      </c>
      <c r="T81" s="7" t="s">
        <v>45</v>
      </c>
      <c r="U81" s="7" t="s">
        <v>190</v>
      </c>
      <c r="V81" s="31">
        <v>46104</v>
      </c>
      <c r="W81" s="8">
        <f t="shared" si="33"/>
        <v>2026</v>
      </c>
      <c r="X81" s="8">
        <f t="shared" si="34"/>
        <v>4</v>
      </c>
      <c r="Y81" s="83">
        <f t="shared" si="31"/>
        <v>4</v>
      </c>
      <c r="Z81" s="83" t="str">
        <f t="shared" si="32"/>
        <v>W1</v>
      </c>
      <c r="AA81" s="83" t="str">
        <f t="shared" si="35"/>
        <v>Quý II</v>
      </c>
      <c r="AB81" s="80" t="str">
        <f t="shared" si="24"/>
        <v>Partner</v>
      </c>
      <c r="AC81" s="7"/>
    </row>
    <row r="82" spans="1:29" x14ac:dyDescent="0.2">
      <c r="A82" s="7">
        <f t="shared" si="39"/>
        <v>81</v>
      </c>
      <c r="B82" s="7" t="str">
        <f t="shared" si="36"/>
        <v>29B2C2604008</v>
      </c>
      <c r="C82" s="10" t="s">
        <v>255</v>
      </c>
      <c r="D82" s="31">
        <v>46120</v>
      </c>
      <c r="E82" s="12" t="s">
        <v>256</v>
      </c>
      <c r="F82" s="12" t="s">
        <v>40</v>
      </c>
      <c r="G82" s="7" t="s">
        <v>40</v>
      </c>
      <c r="H82" s="7"/>
      <c r="I82" s="7" t="s">
        <v>41</v>
      </c>
      <c r="J82" s="35">
        <v>1851852</v>
      </c>
      <c r="K82" s="70">
        <v>2000000</v>
      </c>
      <c r="L82" s="37"/>
      <c r="M82" s="70">
        <f t="shared" si="37"/>
        <v>740740.8</v>
      </c>
      <c r="N82" s="262">
        <v>0.6</v>
      </c>
      <c r="O82" s="37">
        <f t="shared" si="38"/>
        <v>1111111.2</v>
      </c>
      <c r="P82" s="13" t="s">
        <v>257</v>
      </c>
      <c r="Q82" s="7" t="str">
        <f>VLOOKUP('Data Doanh số'!P82,'DROPDOWNDATA-NOFILL'!$A$1:$B$40,2,FALSE)</f>
        <v>BU 3</v>
      </c>
      <c r="R82" s="7" t="s">
        <v>34</v>
      </c>
      <c r="S82" s="21" t="s">
        <v>44</v>
      </c>
      <c r="T82" s="21" t="s">
        <v>45</v>
      </c>
      <c r="U82" s="21" t="s">
        <v>65</v>
      </c>
      <c r="V82" s="31">
        <v>46119</v>
      </c>
      <c r="W82" s="8">
        <f t="shared" si="33"/>
        <v>2026</v>
      </c>
      <c r="X82" s="8">
        <f t="shared" si="34"/>
        <v>4</v>
      </c>
      <c r="Y82" s="83">
        <f t="shared" si="31"/>
        <v>8</v>
      </c>
      <c r="Z82" s="83" t="str">
        <f t="shared" si="32"/>
        <v>W2</v>
      </c>
      <c r="AA82" s="83" t="str">
        <f t="shared" si="35"/>
        <v>Quý II</v>
      </c>
      <c r="AB82" s="80" t="str">
        <f t="shared" si="24"/>
        <v>MKT</v>
      </c>
      <c r="AC82" s="7"/>
    </row>
    <row r="83" spans="1:29" x14ac:dyDescent="0.2">
      <c r="A83" s="7">
        <f t="shared" si="39"/>
        <v>82</v>
      </c>
      <c r="B83" s="7" t="s">
        <v>251</v>
      </c>
      <c r="C83" s="10" t="s">
        <v>258</v>
      </c>
      <c r="D83" s="31">
        <v>46120</v>
      </c>
      <c r="E83" s="12" t="s">
        <v>252</v>
      </c>
      <c r="F83" s="7" t="s">
        <v>79</v>
      </c>
      <c r="G83" s="7" t="s">
        <v>79</v>
      </c>
      <c r="H83" s="7"/>
      <c r="I83" s="7" t="s">
        <v>51</v>
      </c>
      <c r="J83" s="35">
        <f>+K83/1.08</f>
        <v>1244460356.4814813</v>
      </c>
      <c r="K83" s="70">
        <v>1344017185</v>
      </c>
      <c r="L83" s="37"/>
      <c r="M83" s="70">
        <f t="shared" si="37"/>
        <v>1057791303.0092591</v>
      </c>
      <c r="N83" s="262">
        <v>0.15</v>
      </c>
      <c r="O83" s="37">
        <f t="shared" si="38"/>
        <v>186669053.47222218</v>
      </c>
      <c r="P83" s="13" t="s">
        <v>210</v>
      </c>
      <c r="Q83" s="7" t="str">
        <f>VLOOKUP('Data Doanh số'!P83,'DROPDOWNDATA-NOFILL'!$A$1:$B$40,2,FALSE)</f>
        <v>BU 3</v>
      </c>
      <c r="R83" s="183" t="s">
        <v>259</v>
      </c>
      <c r="S83" s="7" t="s">
        <v>35</v>
      </c>
      <c r="T83" s="7" t="s">
        <v>45</v>
      </c>
      <c r="U83" s="7" t="s">
        <v>76</v>
      </c>
      <c r="V83" s="123">
        <v>46107</v>
      </c>
      <c r="W83" s="8">
        <f t="shared" si="33"/>
        <v>2026</v>
      </c>
      <c r="X83" s="8">
        <f t="shared" si="34"/>
        <v>4</v>
      </c>
      <c r="Y83" s="83">
        <f t="shared" si="31"/>
        <v>8</v>
      </c>
      <c r="Z83" s="83" t="str">
        <f t="shared" si="32"/>
        <v>W2</v>
      </c>
      <c r="AA83" s="83" t="str">
        <f t="shared" si="35"/>
        <v>Quý II</v>
      </c>
      <c r="AB83" s="80" t="str">
        <f t="shared" si="24"/>
        <v>Reference</v>
      </c>
      <c r="AC83" s="7"/>
    </row>
    <row r="84" spans="1:29" x14ac:dyDescent="0.2">
      <c r="A84" s="7">
        <f t="shared" si="39"/>
        <v>83</v>
      </c>
      <c r="B84" s="7" t="str">
        <f>LEFT(C84,12)</f>
        <v>51B2C2604009</v>
      </c>
      <c r="C84" s="10" t="s">
        <v>260</v>
      </c>
      <c r="D84" s="31">
        <v>46121</v>
      </c>
      <c r="E84" s="12" t="s">
        <v>261</v>
      </c>
      <c r="F84" s="12" t="s">
        <v>98</v>
      </c>
      <c r="G84" s="7" t="s">
        <v>98</v>
      </c>
      <c r="H84" s="7"/>
      <c r="I84" s="7" t="s">
        <v>41</v>
      </c>
      <c r="J84" s="35">
        <v>1950000</v>
      </c>
      <c r="K84" s="70">
        <v>2106000</v>
      </c>
      <c r="L84" s="37"/>
      <c r="M84" s="70">
        <f t="shared" si="37"/>
        <v>780000</v>
      </c>
      <c r="N84" s="262">
        <v>0.6</v>
      </c>
      <c r="O84" s="37">
        <f t="shared" si="38"/>
        <v>1170000</v>
      </c>
      <c r="P84" s="13" t="s">
        <v>229</v>
      </c>
      <c r="Q84" s="7" t="str">
        <f>VLOOKUP('Data Doanh số'!P84,'DROPDOWNDATA-NOFILL'!$A$1:$B$40,2,FALSE)</f>
        <v>BU HCM</v>
      </c>
      <c r="R84" s="183" t="s">
        <v>60</v>
      </c>
      <c r="S84" s="7" t="s">
        <v>44</v>
      </c>
      <c r="T84" s="7" t="s">
        <v>99</v>
      </c>
      <c r="U84" s="7" t="s">
        <v>65</v>
      </c>
      <c r="V84" s="123">
        <v>46118</v>
      </c>
      <c r="W84" s="8">
        <f t="shared" si="33"/>
        <v>2026</v>
      </c>
      <c r="X84" s="8">
        <f t="shared" si="34"/>
        <v>4</v>
      </c>
      <c r="Y84" s="83">
        <f t="shared" si="31"/>
        <v>9</v>
      </c>
      <c r="Z84" s="83" t="str">
        <f t="shared" si="32"/>
        <v>W2</v>
      </c>
      <c r="AA84" s="83" t="str">
        <f t="shared" si="35"/>
        <v>Quý II</v>
      </c>
      <c r="AB84" s="80" t="str">
        <f t="shared" ref="AB84:AB115" si="40">IF(OR(G84="Facebook",G84="Hotline",G84="Zalo",G84="Website",G84="Walk in"),"MKT",G84)</f>
        <v>MKT</v>
      </c>
      <c r="AC84" s="7"/>
    </row>
    <row r="85" spans="1:29" x14ac:dyDescent="0.2">
      <c r="A85" s="7">
        <f t="shared" si="39"/>
        <v>84</v>
      </c>
      <c r="B85" s="7" t="str">
        <f>LEFT(C85,12)</f>
        <v>29B2C2603011</v>
      </c>
      <c r="C85" s="10" t="s">
        <v>262</v>
      </c>
      <c r="D85" s="31">
        <v>46122</v>
      </c>
      <c r="E85" s="12" t="s">
        <v>263</v>
      </c>
      <c r="F85" s="12" t="s">
        <v>165</v>
      </c>
      <c r="G85" s="7" t="s">
        <v>165</v>
      </c>
      <c r="H85" s="7"/>
      <c r="I85" s="7" t="s">
        <v>51</v>
      </c>
      <c r="J85" s="35">
        <v>66510816</v>
      </c>
      <c r="K85" s="70">
        <v>71831681</v>
      </c>
      <c r="L85" s="37"/>
      <c r="M85" s="70">
        <f t="shared" si="37"/>
        <v>43232030.400000006</v>
      </c>
      <c r="N85" s="262">
        <v>0.35</v>
      </c>
      <c r="O85" s="37">
        <f t="shared" si="38"/>
        <v>23278785.599999998</v>
      </c>
      <c r="P85" s="13" t="s">
        <v>71</v>
      </c>
      <c r="Q85" s="7" t="str">
        <f>VLOOKUP('Data Doanh số'!P85,'DROPDOWNDATA-NOFILL'!$A$1:$B$40,2,FALSE)</f>
        <v>BU 1</v>
      </c>
      <c r="R85" s="183" t="s">
        <v>60</v>
      </c>
      <c r="S85" s="7" t="s">
        <v>44</v>
      </c>
      <c r="T85" s="7" t="s">
        <v>45</v>
      </c>
      <c r="U85" s="7" t="s">
        <v>65</v>
      </c>
      <c r="V85" s="123">
        <v>46078</v>
      </c>
      <c r="W85" s="8">
        <f t="shared" si="33"/>
        <v>2026</v>
      </c>
      <c r="X85" s="8">
        <f t="shared" si="34"/>
        <v>4</v>
      </c>
      <c r="Y85" s="83">
        <f t="shared" si="31"/>
        <v>10</v>
      </c>
      <c r="Z85" s="83" t="str">
        <f t="shared" si="32"/>
        <v>W2</v>
      </c>
      <c r="AA85" s="83" t="str">
        <f t="shared" si="35"/>
        <v>Quý II</v>
      </c>
      <c r="AB85" s="80" t="str">
        <f t="shared" si="40"/>
        <v>MKT</v>
      </c>
      <c r="AC85" s="7"/>
    </row>
    <row r="86" spans="1:29" x14ac:dyDescent="0.2">
      <c r="A86" s="7">
        <f t="shared" si="39"/>
        <v>85</v>
      </c>
      <c r="B86" s="7" t="str">
        <f>LEFT(C86,12)</f>
        <v>51B2B2604010</v>
      </c>
      <c r="C86" s="10" t="s">
        <v>264</v>
      </c>
      <c r="D86" s="31">
        <v>46123</v>
      </c>
      <c r="E86" s="12" t="s">
        <v>265</v>
      </c>
      <c r="F86" s="7" t="s">
        <v>102</v>
      </c>
      <c r="G86" s="7" t="s">
        <v>102</v>
      </c>
      <c r="H86" s="7"/>
      <c r="I86" s="7" t="s">
        <v>32</v>
      </c>
      <c r="J86" s="35">
        <v>246000000</v>
      </c>
      <c r="K86" s="70">
        <v>265680000</v>
      </c>
      <c r="L86" s="37"/>
      <c r="M86" s="70">
        <f t="shared" si="37"/>
        <v>216480000</v>
      </c>
      <c r="N86" s="262">
        <v>0.12</v>
      </c>
      <c r="O86" s="37">
        <f t="shared" si="38"/>
        <v>29520000</v>
      </c>
      <c r="P86" s="13" t="s">
        <v>229</v>
      </c>
      <c r="Q86" s="7" t="str">
        <f>VLOOKUP('Data Doanh số'!P86,'DROPDOWNDATA-NOFILL'!$A$1:$B$40,2,FALSE)</f>
        <v>BU HCM</v>
      </c>
      <c r="R86" s="7" t="s">
        <v>34</v>
      </c>
      <c r="S86" s="7" t="s">
        <v>35</v>
      </c>
      <c r="T86" s="7" t="s">
        <v>99</v>
      </c>
      <c r="U86" s="7" t="s">
        <v>37</v>
      </c>
      <c r="V86" s="123">
        <v>46121</v>
      </c>
      <c r="W86" s="8">
        <f t="shared" si="33"/>
        <v>2026</v>
      </c>
      <c r="X86" s="8">
        <f t="shared" si="34"/>
        <v>4</v>
      </c>
      <c r="Y86" s="83">
        <f t="shared" si="31"/>
        <v>11</v>
      </c>
      <c r="Z86" s="83" t="str">
        <f t="shared" si="32"/>
        <v>W2</v>
      </c>
      <c r="AA86" s="83" t="str">
        <f t="shared" si="35"/>
        <v>Quý II</v>
      </c>
      <c r="AB86" s="80" t="str">
        <f t="shared" si="40"/>
        <v>Partner</v>
      </c>
      <c r="AC86" s="7"/>
    </row>
    <row r="87" spans="1:29" x14ac:dyDescent="0.2">
      <c r="A87" s="7">
        <f t="shared" si="39"/>
        <v>86</v>
      </c>
      <c r="B87" s="7"/>
      <c r="C87" s="10" t="s">
        <v>266</v>
      </c>
      <c r="D87" s="31">
        <v>46123</v>
      </c>
      <c r="E87" s="12" t="s">
        <v>266</v>
      </c>
      <c r="F87" s="12" t="s">
        <v>117</v>
      </c>
      <c r="G87" s="12" t="s">
        <v>117</v>
      </c>
      <c r="H87" s="12"/>
      <c r="I87" s="7" t="s">
        <v>74</v>
      </c>
      <c r="J87" s="35">
        <f>+K87/1.08</f>
        <v>3857983.333333333</v>
      </c>
      <c r="K87" s="70">
        <v>4166622</v>
      </c>
      <c r="L87" s="37"/>
      <c r="M87" s="37"/>
      <c r="N87" s="262"/>
      <c r="O87" s="37"/>
      <c r="P87" s="13" t="s">
        <v>180</v>
      </c>
      <c r="Q87" s="7" t="str">
        <f>VLOOKUP('Data Doanh số'!P87,'DROPDOWNDATA-NOFILL'!$A$1:$B$40,2,FALSE)</f>
        <v>TMĐT</v>
      </c>
      <c r="R87" s="183" t="s">
        <v>34</v>
      </c>
      <c r="S87" s="7" t="s">
        <v>44</v>
      </c>
      <c r="T87" s="7" t="s">
        <v>45</v>
      </c>
      <c r="U87" s="7" t="s">
        <v>65</v>
      </c>
      <c r="V87" s="123"/>
      <c r="W87" s="8">
        <f t="shared" si="33"/>
        <v>2026</v>
      </c>
      <c r="X87" s="8">
        <f t="shared" si="34"/>
        <v>4</v>
      </c>
      <c r="Y87" s="83">
        <f t="shared" si="31"/>
        <v>11</v>
      </c>
      <c r="Z87" s="83" t="str">
        <f t="shared" si="32"/>
        <v>W2</v>
      </c>
      <c r="AA87" s="83" t="str">
        <f t="shared" si="35"/>
        <v>Quý II</v>
      </c>
      <c r="AB87" s="80" t="str">
        <f t="shared" si="40"/>
        <v>TMĐT</v>
      </c>
      <c r="AC87" s="7"/>
    </row>
    <row r="88" spans="1:29" x14ac:dyDescent="0.2">
      <c r="A88" s="7">
        <f t="shared" si="39"/>
        <v>87</v>
      </c>
      <c r="B88" s="7" t="str">
        <f>LEFT(C88,12)</f>
        <v>29B2C2604012</v>
      </c>
      <c r="C88" s="10" t="s">
        <v>267</v>
      </c>
      <c r="D88" s="31">
        <v>46126</v>
      </c>
      <c r="E88" s="12" t="s">
        <v>268</v>
      </c>
      <c r="F88" s="12" t="s">
        <v>40</v>
      </c>
      <c r="G88" s="7" t="s">
        <v>40</v>
      </c>
      <c r="H88" s="7"/>
      <c r="I88" s="7" t="s">
        <v>41</v>
      </c>
      <c r="J88" s="35">
        <v>7083333</v>
      </c>
      <c r="K88" s="70">
        <v>7650000</v>
      </c>
      <c r="L88" s="37"/>
      <c r="M88" s="70">
        <f>J88-J88*N88</f>
        <v>2833333.2</v>
      </c>
      <c r="N88" s="262">
        <v>0.6</v>
      </c>
      <c r="O88" s="37">
        <f>+N88*J88</f>
        <v>4249999.8</v>
      </c>
      <c r="P88" s="13" t="s">
        <v>140</v>
      </c>
      <c r="Q88" s="7" t="str">
        <f>VLOOKUP('Data Doanh số'!P88,'DROPDOWNDATA-NOFILL'!$A$1:$B$40,2,FALSE)</f>
        <v>BU 1</v>
      </c>
      <c r="R88" s="183" t="s">
        <v>43</v>
      </c>
      <c r="S88" s="7" t="s">
        <v>44</v>
      </c>
      <c r="T88" s="7" t="s">
        <v>45</v>
      </c>
      <c r="U88" s="7" t="s">
        <v>65</v>
      </c>
      <c r="V88" s="123">
        <v>46105</v>
      </c>
      <c r="W88" s="8">
        <f t="shared" si="33"/>
        <v>2026</v>
      </c>
      <c r="X88" s="8">
        <f t="shared" si="34"/>
        <v>4</v>
      </c>
      <c r="Y88" s="83">
        <f t="shared" si="31"/>
        <v>14</v>
      </c>
      <c r="Z88" s="83" t="str">
        <f t="shared" si="32"/>
        <v>W3</v>
      </c>
      <c r="AA88" s="83" t="str">
        <f t="shared" si="35"/>
        <v>Quý II</v>
      </c>
      <c r="AB88" s="80" t="str">
        <f t="shared" si="40"/>
        <v>MKT</v>
      </c>
      <c r="AC88" s="7"/>
    </row>
    <row r="89" spans="1:29" x14ac:dyDescent="0.2">
      <c r="A89" s="7">
        <f t="shared" si="39"/>
        <v>88</v>
      </c>
      <c r="B89" s="7" t="str">
        <f>LEFT(C89,12)</f>
        <v>29B2C2604004</v>
      </c>
      <c r="C89" s="10" t="s">
        <v>269</v>
      </c>
      <c r="D89" s="31">
        <v>46126</v>
      </c>
      <c r="E89" s="12" t="s">
        <v>270</v>
      </c>
      <c r="F89" s="12" t="s">
        <v>133</v>
      </c>
      <c r="G89" s="7" t="s">
        <v>133</v>
      </c>
      <c r="H89" s="7"/>
      <c r="I89" s="7" t="s">
        <v>41</v>
      </c>
      <c r="J89" s="35">
        <v>4974074</v>
      </c>
      <c r="K89" s="70">
        <v>5372000</v>
      </c>
      <c r="L89" s="37"/>
      <c r="M89" s="70">
        <f>J89-J89*N89</f>
        <v>2487037</v>
      </c>
      <c r="N89" s="262">
        <v>0.5</v>
      </c>
      <c r="O89" s="37">
        <f>+N89*J89</f>
        <v>2487037</v>
      </c>
      <c r="P89" s="13" t="s">
        <v>59</v>
      </c>
      <c r="Q89" s="7" t="str">
        <f>VLOOKUP('Data Doanh số'!P89,'DROPDOWNDATA-NOFILL'!$A$1:$B$40,2,FALSE)</f>
        <v>BU 3</v>
      </c>
      <c r="R89" s="183" t="s">
        <v>34</v>
      </c>
      <c r="S89" s="7" t="s">
        <v>44</v>
      </c>
      <c r="T89" s="7" t="s">
        <v>45</v>
      </c>
      <c r="U89" s="7" t="s">
        <v>65</v>
      </c>
      <c r="V89" s="123">
        <v>46119</v>
      </c>
      <c r="W89" s="8">
        <f t="shared" si="33"/>
        <v>2026</v>
      </c>
      <c r="X89" s="8">
        <f t="shared" si="34"/>
        <v>4</v>
      </c>
      <c r="Y89" s="83">
        <f t="shared" si="31"/>
        <v>14</v>
      </c>
      <c r="Z89" s="83" t="str">
        <f t="shared" si="32"/>
        <v>W3</v>
      </c>
      <c r="AA89" s="83" t="str">
        <f t="shared" si="35"/>
        <v>Quý II</v>
      </c>
      <c r="AB89" s="80" t="str">
        <f t="shared" si="40"/>
        <v>Sale tự kiếm</v>
      </c>
      <c r="AC89" s="7"/>
    </row>
    <row r="90" spans="1:29" x14ac:dyDescent="0.2">
      <c r="A90" s="7">
        <f t="shared" si="39"/>
        <v>89</v>
      </c>
      <c r="B90" s="7" t="str">
        <f>LEFT(C90,12)</f>
        <v>29B2C2604014</v>
      </c>
      <c r="C90" s="10" t="s">
        <v>271</v>
      </c>
      <c r="D90" s="31">
        <v>46128</v>
      </c>
      <c r="E90" s="12" t="s">
        <v>272</v>
      </c>
      <c r="F90" s="12" t="s">
        <v>40</v>
      </c>
      <c r="G90" s="7" t="s">
        <v>40</v>
      </c>
      <c r="H90" s="7"/>
      <c r="I90" s="7" t="s">
        <v>41</v>
      </c>
      <c r="J90" s="35">
        <v>52777778</v>
      </c>
      <c r="K90" s="70">
        <v>57000000</v>
      </c>
      <c r="L90" s="37"/>
      <c r="M90" s="70">
        <f>J90-J90*N90</f>
        <v>21111111.200000003</v>
      </c>
      <c r="N90" s="262">
        <v>0.6</v>
      </c>
      <c r="O90" s="37">
        <f>+N90*J90</f>
        <v>31666666.799999997</v>
      </c>
      <c r="P90" s="13" t="s">
        <v>140</v>
      </c>
      <c r="Q90" s="7" t="str">
        <f>VLOOKUP('Data Doanh số'!P90,'DROPDOWNDATA-NOFILL'!$A$1:$B$40,2,FALSE)</f>
        <v>BU 1</v>
      </c>
      <c r="R90" s="183" t="s">
        <v>43</v>
      </c>
      <c r="S90" s="7" t="s">
        <v>44</v>
      </c>
      <c r="T90" s="7" t="s">
        <v>45</v>
      </c>
      <c r="U90" s="7" t="s">
        <v>46</v>
      </c>
      <c r="V90" s="123">
        <v>46111</v>
      </c>
      <c r="W90" s="8">
        <f t="shared" si="33"/>
        <v>2026</v>
      </c>
      <c r="X90" s="8">
        <f t="shared" si="34"/>
        <v>4</v>
      </c>
      <c r="Y90" s="83">
        <f t="shared" si="31"/>
        <v>16</v>
      </c>
      <c r="Z90" s="83" t="str">
        <f t="shared" si="32"/>
        <v>W3</v>
      </c>
      <c r="AA90" s="83" t="str">
        <f t="shared" si="35"/>
        <v>Quý II</v>
      </c>
      <c r="AB90" s="80" t="str">
        <f t="shared" si="40"/>
        <v>MKT</v>
      </c>
      <c r="AC90" s="7"/>
    </row>
    <row r="91" spans="1:29" x14ac:dyDescent="0.2">
      <c r="A91" s="7">
        <f t="shared" si="39"/>
        <v>90</v>
      </c>
      <c r="B91" s="7" t="str">
        <f>LEFT(C91,12)</f>
        <v>29B2C2604003</v>
      </c>
      <c r="C91" s="10" t="s">
        <v>273</v>
      </c>
      <c r="D91" s="31">
        <v>46129</v>
      </c>
      <c r="E91" s="12" t="s">
        <v>250</v>
      </c>
      <c r="F91" s="12" t="s">
        <v>40</v>
      </c>
      <c r="G91" s="7" t="s">
        <v>40</v>
      </c>
      <c r="H91" s="7"/>
      <c r="I91" s="7" t="s">
        <v>51</v>
      </c>
      <c r="J91" s="35">
        <v>46081895.369999997</v>
      </c>
      <c r="K91" s="70">
        <v>49768447</v>
      </c>
      <c r="L91" s="37"/>
      <c r="M91" s="70">
        <f>J91-J91*N91</f>
        <v>32257326.758999996</v>
      </c>
      <c r="N91" s="262">
        <v>0.3</v>
      </c>
      <c r="O91" s="37">
        <f>+N91*J91</f>
        <v>13824568.611</v>
      </c>
      <c r="P91" s="13" t="s">
        <v>130</v>
      </c>
      <c r="Q91" s="7" t="str">
        <f>VLOOKUP('Data Doanh số'!P91,'DROPDOWNDATA-NOFILL'!$A$1:$B$40,2,FALSE)</f>
        <v>BU 3</v>
      </c>
      <c r="R91" s="183" t="s">
        <v>34</v>
      </c>
      <c r="S91" s="7" t="s">
        <v>44</v>
      </c>
      <c r="T91" s="7" t="s">
        <v>45</v>
      </c>
      <c r="U91" s="7" t="s">
        <v>65</v>
      </c>
      <c r="V91" s="123">
        <v>46113</v>
      </c>
      <c r="W91" s="8">
        <f t="shared" si="33"/>
        <v>2026</v>
      </c>
      <c r="X91" s="8">
        <f t="shared" si="34"/>
        <v>4</v>
      </c>
      <c r="Y91" s="83">
        <f t="shared" si="31"/>
        <v>17</v>
      </c>
      <c r="Z91" s="83" t="str">
        <f t="shared" si="32"/>
        <v>W3</v>
      </c>
      <c r="AA91" s="83" t="str">
        <f t="shared" si="35"/>
        <v>Quý II</v>
      </c>
      <c r="AB91" s="80" t="str">
        <f t="shared" si="40"/>
        <v>MKT</v>
      </c>
      <c r="AC91" s="7"/>
    </row>
    <row r="92" spans="1:29" x14ac:dyDescent="0.2">
      <c r="A92" s="7">
        <f t="shared" si="39"/>
        <v>91</v>
      </c>
      <c r="B92" s="7" t="str">
        <f>LEFT(C92,12)</f>
        <v>51B2B2604016</v>
      </c>
      <c r="C92" s="10" t="s">
        <v>274</v>
      </c>
      <c r="D92" s="31">
        <v>46129</v>
      </c>
      <c r="E92" s="12" t="s">
        <v>275</v>
      </c>
      <c r="F92" s="12" t="s">
        <v>102</v>
      </c>
      <c r="G92" s="7" t="s">
        <v>31</v>
      </c>
      <c r="H92" s="7"/>
      <c r="I92" s="7" t="s">
        <v>51</v>
      </c>
      <c r="J92" s="35">
        <v>5047581502</v>
      </c>
      <c r="K92" s="70">
        <v>5451388022</v>
      </c>
      <c r="L92" s="37"/>
      <c r="M92" s="70">
        <f>J92-J92*N92</f>
        <v>4038065201.5999999</v>
      </c>
      <c r="N92" s="262">
        <v>0.2</v>
      </c>
      <c r="O92" s="37">
        <f>+N92*J92</f>
        <v>1009516300.4000001</v>
      </c>
      <c r="P92" s="13" t="s">
        <v>80</v>
      </c>
      <c r="Q92" s="7" t="str">
        <f>VLOOKUP('Data Doanh số'!P92,'DROPDOWNDATA-NOFILL'!$A$1:$B$40,2,FALSE)</f>
        <v>BU HCM</v>
      </c>
      <c r="R92" s="183" t="s">
        <v>60</v>
      </c>
      <c r="S92" s="7" t="s">
        <v>35</v>
      </c>
      <c r="T92" s="7" t="s">
        <v>233</v>
      </c>
      <c r="U92" s="7" t="s">
        <v>190</v>
      </c>
      <c r="V92" s="123">
        <v>46087</v>
      </c>
      <c r="W92" s="8">
        <f t="shared" si="33"/>
        <v>2026</v>
      </c>
      <c r="X92" s="8">
        <f t="shared" si="34"/>
        <v>4</v>
      </c>
      <c r="Y92" s="83">
        <f t="shared" si="31"/>
        <v>17</v>
      </c>
      <c r="Z92" s="83" t="str">
        <f t="shared" si="32"/>
        <v>W3</v>
      </c>
      <c r="AA92" s="83" t="str">
        <f t="shared" si="35"/>
        <v>Quý II</v>
      </c>
      <c r="AB92" s="80" t="str">
        <f t="shared" si="40"/>
        <v>Customer</v>
      </c>
      <c r="AC92" s="7"/>
    </row>
    <row r="93" spans="1:29" x14ac:dyDescent="0.2">
      <c r="A93" s="7">
        <f t="shared" si="39"/>
        <v>92</v>
      </c>
      <c r="B93" s="7"/>
      <c r="C93" s="10" t="s">
        <v>276</v>
      </c>
      <c r="D93" s="31">
        <v>46130</v>
      </c>
      <c r="E93" s="12" t="s">
        <v>276</v>
      </c>
      <c r="F93" s="12" t="s">
        <v>117</v>
      </c>
      <c r="G93" s="12" t="s">
        <v>117</v>
      </c>
      <c r="H93" s="12"/>
      <c r="I93" s="7" t="s">
        <v>74</v>
      </c>
      <c r="J93" s="35">
        <f>+K93/1.08</f>
        <v>1897211.111111111</v>
      </c>
      <c r="K93" s="70">
        <v>2048988</v>
      </c>
      <c r="L93" s="37"/>
      <c r="M93" s="37"/>
      <c r="N93" s="262"/>
      <c r="O93" s="37"/>
      <c r="P93" s="13" t="s">
        <v>180</v>
      </c>
      <c r="Q93" s="7" t="str">
        <f>VLOOKUP('Data Doanh số'!P93,'DROPDOWNDATA-NOFILL'!$A$1:$B$40,2,FALSE)</f>
        <v>TMĐT</v>
      </c>
      <c r="R93" s="183" t="s">
        <v>34</v>
      </c>
      <c r="S93" s="124" t="s">
        <v>44</v>
      </c>
      <c r="T93" s="124" t="s">
        <v>45</v>
      </c>
      <c r="U93" s="124" t="s">
        <v>65</v>
      </c>
      <c r="V93" s="31"/>
      <c r="W93" s="8">
        <f t="shared" si="33"/>
        <v>2026</v>
      </c>
      <c r="X93" s="8">
        <f t="shared" si="34"/>
        <v>4</v>
      </c>
      <c r="Y93" s="83">
        <f t="shared" si="31"/>
        <v>18</v>
      </c>
      <c r="Z93" s="83" t="str">
        <f t="shared" si="32"/>
        <v>W3</v>
      </c>
      <c r="AA93" s="83" t="str">
        <f t="shared" si="35"/>
        <v>Quý II</v>
      </c>
      <c r="AB93" s="80" t="str">
        <f t="shared" si="40"/>
        <v>TMĐT</v>
      </c>
      <c r="AC93" s="7"/>
    </row>
    <row r="94" spans="1:29" x14ac:dyDescent="0.2">
      <c r="A94" s="7">
        <f t="shared" si="39"/>
        <v>93</v>
      </c>
      <c r="B94" s="7" t="str">
        <f>LEFT(C94,12)</f>
        <v>29B2C2604017</v>
      </c>
      <c r="C94" s="10" t="s">
        <v>277</v>
      </c>
      <c r="D94" s="31">
        <v>46133</v>
      </c>
      <c r="E94" s="12" t="s">
        <v>278</v>
      </c>
      <c r="F94" s="12" t="s">
        <v>40</v>
      </c>
      <c r="G94" s="7" t="s">
        <v>40</v>
      </c>
      <c r="H94" s="7"/>
      <c r="I94" s="7" t="s">
        <v>41</v>
      </c>
      <c r="J94" s="35">
        <v>12833333</v>
      </c>
      <c r="K94" s="70">
        <v>13860000</v>
      </c>
      <c r="L94" s="37"/>
      <c r="M94" s="70">
        <f>J94-J94*N94</f>
        <v>8983333.0999999996</v>
      </c>
      <c r="N94" s="262">
        <v>0.3</v>
      </c>
      <c r="O94" s="37">
        <f>+N94*J94</f>
        <v>3849999.9</v>
      </c>
      <c r="P94" s="13" t="s">
        <v>83</v>
      </c>
      <c r="Q94" s="7" t="str">
        <f>VLOOKUP('Data Doanh số'!P94,'DROPDOWNDATA-NOFILL'!$A$1:$B$40,2,FALSE)</f>
        <v>BU 1</v>
      </c>
      <c r="R94" s="7" t="s">
        <v>60</v>
      </c>
      <c r="S94" s="7" t="s">
        <v>44</v>
      </c>
      <c r="T94" s="7" t="s">
        <v>45</v>
      </c>
      <c r="U94" s="7" t="s">
        <v>65</v>
      </c>
      <c r="V94" s="31">
        <v>46125</v>
      </c>
      <c r="W94" s="8">
        <f t="shared" si="33"/>
        <v>2026</v>
      </c>
      <c r="X94" s="8">
        <f t="shared" si="34"/>
        <v>4</v>
      </c>
      <c r="Y94" s="83">
        <f t="shared" si="31"/>
        <v>21</v>
      </c>
      <c r="Z94" s="83" t="str">
        <f t="shared" si="32"/>
        <v>W4</v>
      </c>
      <c r="AA94" s="83" t="str">
        <f t="shared" si="35"/>
        <v>Quý II</v>
      </c>
      <c r="AB94" s="80" t="str">
        <f t="shared" si="40"/>
        <v>MKT</v>
      </c>
      <c r="AC94" s="7"/>
    </row>
    <row r="95" spans="1:29" x14ac:dyDescent="0.2">
      <c r="A95" s="7">
        <f t="shared" si="39"/>
        <v>94</v>
      </c>
      <c r="B95" s="7" t="str">
        <f>LEFT(C95,12)</f>
        <v>29B2C2604021</v>
      </c>
      <c r="C95" s="10" t="s">
        <v>279</v>
      </c>
      <c r="D95" s="31">
        <v>46135</v>
      </c>
      <c r="E95" s="12" t="s">
        <v>280</v>
      </c>
      <c r="F95" s="12" t="s">
        <v>40</v>
      </c>
      <c r="G95" s="7" t="s">
        <v>40</v>
      </c>
      <c r="H95" s="7" t="s">
        <v>281</v>
      </c>
      <c r="I95" s="7" t="s">
        <v>41</v>
      </c>
      <c r="J95" s="35">
        <v>4629629.5999999996</v>
      </c>
      <c r="K95" s="70">
        <v>5000000</v>
      </c>
      <c r="L95" s="37"/>
      <c r="M95" s="70">
        <f>J95-J95*N95</f>
        <v>2314814.7999999998</v>
      </c>
      <c r="N95" s="262">
        <v>0.5</v>
      </c>
      <c r="O95" s="37">
        <f>+N95*J95</f>
        <v>2314814.7999999998</v>
      </c>
      <c r="P95" s="13" t="s">
        <v>257</v>
      </c>
      <c r="Q95" s="7" t="str">
        <f>VLOOKUP('Data Doanh số'!P95,'DROPDOWNDATA-NOFILL'!$A$1:$B$40,2,FALSE)</f>
        <v>BU 3</v>
      </c>
      <c r="R95" s="7" t="s">
        <v>34</v>
      </c>
      <c r="S95" s="7" t="s">
        <v>44</v>
      </c>
      <c r="T95" s="7" t="s">
        <v>282</v>
      </c>
      <c r="U95" s="7" t="s">
        <v>65</v>
      </c>
      <c r="V95" s="31">
        <v>46131</v>
      </c>
      <c r="W95" s="8">
        <f t="shared" si="33"/>
        <v>2026</v>
      </c>
      <c r="X95" s="8">
        <f t="shared" si="34"/>
        <v>4</v>
      </c>
      <c r="Y95" s="83">
        <f t="shared" si="31"/>
        <v>23</v>
      </c>
      <c r="Z95" s="83" t="str">
        <f t="shared" si="32"/>
        <v>W4</v>
      </c>
      <c r="AA95" s="83" t="str">
        <f t="shared" si="35"/>
        <v>Quý II</v>
      </c>
      <c r="AB95" s="80" t="str">
        <f t="shared" si="40"/>
        <v>MKT</v>
      </c>
      <c r="AC95" s="7"/>
    </row>
    <row r="96" spans="1:29" x14ac:dyDescent="0.2">
      <c r="A96" s="7">
        <f t="shared" si="39"/>
        <v>95</v>
      </c>
      <c r="B96" s="7" t="str">
        <f>LEFT(C96,12)</f>
        <v>51B2C2603028</v>
      </c>
      <c r="C96" s="10" t="s">
        <v>283</v>
      </c>
      <c r="D96" s="31">
        <v>46135</v>
      </c>
      <c r="E96" s="12" t="s">
        <v>284</v>
      </c>
      <c r="F96" s="12" t="s">
        <v>40</v>
      </c>
      <c r="G96" s="7" t="s">
        <v>40</v>
      </c>
      <c r="H96" s="7"/>
      <c r="I96" s="7" t="s">
        <v>51</v>
      </c>
      <c r="J96" s="35">
        <v>91670000</v>
      </c>
      <c r="K96" s="70">
        <v>99003600</v>
      </c>
      <c r="L96" s="37"/>
      <c r="M96" s="70">
        <f>J96-J96*N96</f>
        <v>69669200</v>
      </c>
      <c r="N96" s="262">
        <v>0.24</v>
      </c>
      <c r="O96" s="37">
        <f>+N96*J96</f>
        <v>22000800</v>
      </c>
      <c r="P96" s="13" t="s">
        <v>226</v>
      </c>
      <c r="Q96" s="7" t="str">
        <f>VLOOKUP('Data Doanh số'!P96,'DROPDOWNDATA-NOFILL'!$A$1:$B$40,2,FALSE)</f>
        <v>BU HCM</v>
      </c>
      <c r="R96" s="7" t="s">
        <v>34</v>
      </c>
      <c r="S96" s="7" t="s">
        <v>44</v>
      </c>
      <c r="T96" s="7" t="s">
        <v>99</v>
      </c>
      <c r="U96" s="7" t="s">
        <v>65</v>
      </c>
      <c r="V96" s="31">
        <v>46102</v>
      </c>
      <c r="W96" s="8">
        <f t="shared" si="33"/>
        <v>2026</v>
      </c>
      <c r="X96" s="8">
        <f t="shared" si="34"/>
        <v>4</v>
      </c>
      <c r="Y96" s="83">
        <f t="shared" si="31"/>
        <v>23</v>
      </c>
      <c r="Z96" s="83" t="str">
        <f t="shared" si="32"/>
        <v>W4</v>
      </c>
      <c r="AA96" s="83" t="str">
        <f t="shared" si="35"/>
        <v>Quý II</v>
      </c>
      <c r="AB96" s="80" t="str">
        <f t="shared" si="40"/>
        <v>MKT</v>
      </c>
      <c r="AC96" s="7"/>
    </row>
    <row r="97" spans="1:29" x14ac:dyDescent="0.2">
      <c r="A97" s="7">
        <f t="shared" si="39"/>
        <v>96</v>
      </c>
      <c r="B97" s="7" t="str">
        <f>LEFT(C97,12)</f>
        <v>29B2C2604018</v>
      </c>
      <c r="C97" s="10" t="s">
        <v>285</v>
      </c>
      <c r="D97" s="31">
        <v>46135</v>
      </c>
      <c r="E97" s="12" t="s">
        <v>286</v>
      </c>
      <c r="F97" s="12" t="s">
        <v>40</v>
      </c>
      <c r="G97" s="7" t="s">
        <v>40</v>
      </c>
      <c r="H97" s="7"/>
      <c r="I97" s="7" t="s">
        <v>41</v>
      </c>
      <c r="J97" s="35">
        <v>5870370</v>
      </c>
      <c r="K97" s="70">
        <v>6340000</v>
      </c>
      <c r="L97" s="37"/>
      <c r="M97" s="70">
        <f>J97-J97*N97</f>
        <v>3815740.5</v>
      </c>
      <c r="N97" s="262">
        <v>0.35</v>
      </c>
      <c r="O97" s="37">
        <f>+N97*J97</f>
        <v>2054629.4999999998</v>
      </c>
      <c r="P97" s="13" t="s">
        <v>83</v>
      </c>
      <c r="Q97" s="7" t="str">
        <f>VLOOKUP('Data Doanh số'!P97,'DROPDOWNDATA-NOFILL'!$A$1:$B$40,2,FALSE)</f>
        <v>BU 1</v>
      </c>
      <c r="R97" s="7" t="s">
        <v>60</v>
      </c>
      <c r="S97" s="7" t="s">
        <v>44</v>
      </c>
      <c r="T97" s="7" t="s">
        <v>45</v>
      </c>
      <c r="U97" s="7" t="s">
        <v>65</v>
      </c>
      <c r="V97" s="31">
        <v>46123</v>
      </c>
      <c r="W97" s="8">
        <f t="shared" si="33"/>
        <v>2026</v>
      </c>
      <c r="X97" s="8">
        <f t="shared" si="34"/>
        <v>4</v>
      </c>
      <c r="Y97" s="83">
        <f t="shared" si="31"/>
        <v>23</v>
      </c>
      <c r="Z97" s="83" t="str">
        <f t="shared" si="32"/>
        <v>W4</v>
      </c>
      <c r="AA97" s="83" t="str">
        <f t="shared" si="35"/>
        <v>Quý II</v>
      </c>
      <c r="AB97" s="80" t="str">
        <f t="shared" si="40"/>
        <v>MKT</v>
      </c>
      <c r="AC97" s="7"/>
    </row>
    <row r="98" spans="1:29" x14ac:dyDescent="0.2">
      <c r="A98" s="7">
        <f t="shared" si="39"/>
        <v>97</v>
      </c>
      <c r="B98" s="7" t="str">
        <f>LEFT(C98,12)</f>
        <v>29B2C2604022</v>
      </c>
      <c r="C98" s="10" t="s">
        <v>287</v>
      </c>
      <c r="D98" s="31">
        <v>46136</v>
      </c>
      <c r="E98" s="12" t="s">
        <v>288</v>
      </c>
      <c r="F98" s="12" t="s">
        <v>40</v>
      </c>
      <c r="G98" s="7" t="s">
        <v>40</v>
      </c>
      <c r="H98" s="7" t="s">
        <v>281</v>
      </c>
      <c r="I98" s="7" t="s">
        <v>41</v>
      </c>
      <c r="J98" s="35">
        <v>3703703.7</v>
      </c>
      <c r="K98" s="70">
        <v>4000000</v>
      </c>
      <c r="L98" s="37"/>
      <c r="M98" s="70">
        <f>J98-J98*N98</f>
        <v>1851851.85</v>
      </c>
      <c r="N98" s="262">
        <v>0.5</v>
      </c>
      <c r="O98" s="37">
        <f>+N98*J98</f>
        <v>1851851.85</v>
      </c>
      <c r="P98" s="13" t="s">
        <v>42</v>
      </c>
      <c r="Q98" s="7" t="str">
        <f>VLOOKUP('Data Doanh số'!P98,'DROPDOWNDATA-NOFILL'!$A$1:$B$40,2,FALSE)</f>
        <v>BU 1</v>
      </c>
      <c r="R98" s="7" t="s">
        <v>34</v>
      </c>
      <c r="S98" s="7" t="s">
        <v>44</v>
      </c>
      <c r="T98" s="7" t="s">
        <v>45</v>
      </c>
      <c r="U98" s="7" t="s">
        <v>65</v>
      </c>
      <c r="V98" s="31">
        <v>46134</v>
      </c>
      <c r="W98" s="8">
        <f t="shared" si="33"/>
        <v>2026</v>
      </c>
      <c r="X98" s="8">
        <f t="shared" si="34"/>
        <v>4</v>
      </c>
      <c r="Y98" s="83">
        <f t="shared" ref="Y98:Y129" si="41">DAY(D98)</f>
        <v>24</v>
      </c>
      <c r="Z98" s="83" t="str">
        <f t="shared" ref="Z98:Z104" si="42">"W"&amp;WEEKNUM(D98)-WEEKNUM(EOMONTH(D98,-1)+1)+1</f>
        <v>W4</v>
      </c>
      <c r="AA98" s="83" t="str">
        <f t="shared" si="35"/>
        <v>Quý II</v>
      </c>
      <c r="AB98" s="80" t="str">
        <f t="shared" si="40"/>
        <v>MKT</v>
      </c>
      <c r="AC98" s="7"/>
    </row>
    <row r="99" spans="1:29" x14ac:dyDescent="0.2">
      <c r="A99" s="7">
        <f t="shared" si="39"/>
        <v>98</v>
      </c>
      <c r="B99" s="7"/>
      <c r="C99" s="10" t="s">
        <v>289</v>
      </c>
      <c r="D99" s="31">
        <v>46137</v>
      </c>
      <c r="E99" s="12" t="s">
        <v>289</v>
      </c>
      <c r="F99" s="12" t="s">
        <v>117</v>
      </c>
      <c r="G99" s="12" t="s">
        <v>117</v>
      </c>
      <c r="H99" s="12"/>
      <c r="I99" s="7" t="s">
        <v>74</v>
      </c>
      <c r="J99" s="35">
        <f>+K99/1.08</f>
        <v>16054402.777777776</v>
      </c>
      <c r="K99" s="70">
        <v>17338755</v>
      </c>
      <c r="L99" s="37"/>
      <c r="M99" s="37"/>
      <c r="N99" s="262"/>
      <c r="O99" s="37"/>
      <c r="P99" s="13" t="s">
        <v>180</v>
      </c>
      <c r="Q99" s="7" t="str">
        <f>VLOOKUP('Data Doanh số'!P99,'DROPDOWNDATA-NOFILL'!$A$1:$B$40,2,FALSE)</f>
        <v>TMĐT</v>
      </c>
      <c r="R99" s="183" t="s">
        <v>34</v>
      </c>
      <c r="S99" s="7" t="s">
        <v>44</v>
      </c>
      <c r="T99" s="7" t="s">
        <v>45</v>
      </c>
      <c r="U99" s="7" t="s">
        <v>65</v>
      </c>
      <c r="V99" s="31"/>
      <c r="W99" s="8">
        <f t="shared" si="33"/>
        <v>2026</v>
      </c>
      <c r="X99" s="8">
        <f t="shared" si="34"/>
        <v>4</v>
      </c>
      <c r="Y99" s="83">
        <f t="shared" si="41"/>
        <v>25</v>
      </c>
      <c r="Z99" s="83" t="str">
        <f t="shared" si="42"/>
        <v>W4</v>
      </c>
      <c r="AA99" s="83" t="str">
        <f t="shared" si="35"/>
        <v>Quý II</v>
      </c>
      <c r="AB99" s="80" t="str">
        <f t="shared" si="40"/>
        <v>TMĐT</v>
      </c>
      <c r="AC99" s="7"/>
    </row>
    <row r="100" spans="1:29" x14ac:dyDescent="0.2">
      <c r="A100" s="7">
        <f t="shared" si="39"/>
        <v>99</v>
      </c>
      <c r="B100" s="7" t="str">
        <f>LEFT(C100,12)</f>
        <v>29B2C2603030</v>
      </c>
      <c r="C100" s="10" t="s">
        <v>290</v>
      </c>
      <c r="D100" s="31">
        <v>46141</v>
      </c>
      <c r="E100" s="12" t="s">
        <v>291</v>
      </c>
      <c r="F100" s="12" t="s">
        <v>40</v>
      </c>
      <c r="G100" s="7" t="s">
        <v>40</v>
      </c>
      <c r="H100" s="7"/>
      <c r="I100" s="7" t="s">
        <v>51</v>
      </c>
      <c r="J100" s="35">
        <v>450759259</v>
      </c>
      <c r="K100" s="70">
        <v>486820000</v>
      </c>
      <c r="L100" s="37"/>
      <c r="M100" s="70">
        <f>J100-J100*N100</f>
        <v>360607407.19999999</v>
      </c>
      <c r="N100" s="262">
        <v>0.2</v>
      </c>
      <c r="O100" s="37">
        <f>+N100*J100</f>
        <v>90151851.800000012</v>
      </c>
      <c r="P100" s="13" t="s">
        <v>42</v>
      </c>
      <c r="Q100" s="7" t="str">
        <f>VLOOKUP('Data Doanh số'!P100,'DROPDOWNDATA-NOFILL'!$A$1:$B$40,2,FALSE)</f>
        <v>BU 1</v>
      </c>
      <c r="R100" s="7" t="s">
        <v>60</v>
      </c>
      <c r="S100" s="7" t="s">
        <v>44</v>
      </c>
      <c r="T100" s="7" t="s">
        <v>45</v>
      </c>
      <c r="U100" s="31" t="s">
        <v>46</v>
      </c>
      <c r="V100" s="31">
        <v>46112</v>
      </c>
      <c r="W100" s="8">
        <f t="shared" si="33"/>
        <v>2026</v>
      </c>
      <c r="X100" s="8">
        <f t="shared" si="34"/>
        <v>4</v>
      </c>
      <c r="Y100" s="83">
        <f t="shared" si="41"/>
        <v>29</v>
      </c>
      <c r="Z100" s="83" t="str">
        <f t="shared" si="42"/>
        <v>W5</v>
      </c>
      <c r="AA100" s="83" t="str">
        <f t="shared" si="35"/>
        <v>Quý II</v>
      </c>
      <c r="AB100" s="80" t="str">
        <f t="shared" si="40"/>
        <v>MKT</v>
      </c>
      <c r="AC100" s="7"/>
    </row>
    <row r="101" spans="1:29" x14ac:dyDescent="0.2">
      <c r="A101" s="7">
        <f t="shared" si="39"/>
        <v>100</v>
      </c>
      <c r="B101" s="7" t="str">
        <f>LEFT(C101,12)</f>
        <v>51B2C2604026</v>
      </c>
      <c r="C101" s="10" t="s">
        <v>292</v>
      </c>
      <c r="D101" s="31">
        <v>46141</v>
      </c>
      <c r="E101" s="12" t="s">
        <v>293</v>
      </c>
      <c r="F101" s="12" t="s">
        <v>102</v>
      </c>
      <c r="G101" s="7" t="s">
        <v>31</v>
      </c>
      <c r="H101" s="7"/>
      <c r="I101" s="7" t="s">
        <v>51</v>
      </c>
      <c r="J101" s="35">
        <v>26090000</v>
      </c>
      <c r="K101" s="70">
        <f>+J101*1.08</f>
        <v>28177200</v>
      </c>
      <c r="L101" s="37"/>
      <c r="M101" s="70">
        <f>J101-J101*N101</f>
        <v>19828400</v>
      </c>
      <c r="N101" s="262">
        <v>0.24</v>
      </c>
      <c r="O101" s="37">
        <f>+N101*J101</f>
        <v>6261600</v>
      </c>
      <c r="P101" s="13" t="s">
        <v>229</v>
      </c>
      <c r="Q101" s="7" t="str">
        <f>VLOOKUP('Data Doanh số'!P101,'DROPDOWNDATA-NOFILL'!$A$1:$B$40,2,FALSE)</f>
        <v>BU HCM</v>
      </c>
      <c r="R101" s="7" t="s">
        <v>34</v>
      </c>
      <c r="S101" s="7" t="s">
        <v>35</v>
      </c>
      <c r="T101" s="7" t="s">
        <v>99</v>
      </c>
      <c r="U101" s="31" t="s">
        <v>37</v>
      </c>
      <c r="V101" s="31">
        <v>46146</v>
      </c>
      <c r="W101" s="8">
        <f t="shared" si="33"/>
        <v>2026</v>
      </c>
      <c r="X101" s="8">
        <f t="shared" si="34"/>
        <v>4</v>
      </c>
      <c r="Y101" s="83">
        <f t="shared" si="41"/>
        <v>29</v>
      </c>
      <c r="Z101" s="83" t="str">
        <f t="shared" si="42"/>
        <v>W5</v>
      </c>
      <c r="AA101" s="83" t="str">
        <f t="shared" si="35"/>
        <v>Quý II</v>
      </c>
      <c r="AB101" s="80" t="str">
        <f t="shared" si="40"/>
        <v>Customer</v>
      </c>
      <c r="AC101" s="7"/>
    </row>
    <row r="102" spans="1:29" x14ac:dyDescent="0.2">
      <c r="A102" s="7">
        <f t="shared" si="39"/>
        <v>101</v>
      </c>
      <c r="B102" s="7" t="str">
        <f>LEFT(C102,12)</f>
        <v>29B2C2604024</v>
      </c>
      <c r="C102" s="10" t="s">
        <v>294</v>
      </c>
      <c r="D102" s="31">
        <v>46141</v>
      </c>
      <c r="E102" s="12" t="s">
        <v>295</v>
      </c>
      <c r="F102" s="12" t="s">
        <v>102</v>
      </c>
      <c r="G102" s="7" t="s">
        <v>102</v>
      </c>
      <c r="H102" s="7"/>
      <c r="I102" s="7" t="s">
        <v>51</v>
      </c>
      <c r="J102" s="35">
        <v>41069854</v>
      </c>
      <c r="K102" s="70">
        <v>44355442</v>
      </c>
      <c r="L102" s="37"/>
      <c r="M102" s="70">
        <f>J102-J102*N102</f>
        <v>28748897.800000001</v>
      </c>
      <c r="N102" s="262">
        <v>0.3</v>
      </c>
      <c r="O102" s="37">
        <f>+N102*J102</f>
        <v>12320956.199999999</v>
      </c>
      <c r="P102" s="13" t="s">
        <v>130</v>
      </c>
      <c r="Q102" s="7" t="str">
        <f>VLOOKUP('Data Doanh số'!P102,'DROPDOWNDATA-NOFILL'!$A$1:$B$40,2,FALSE)</f>
        <v>BU 3</v>
      </c>
      <c r="R102" s="7" t="s">
        <v>60</v>
      </c>
      <c r="S102" s="7" t="s">
        <v>44</v>
      </c>
      <c r="T102" s="7" t="s">
        <v>64</v>
      </c>
      <c r="U102" s="31" t="s">
        <v>76</v>
      </c>
      <c r="V102" s="31">
        <v>46141</v>
      </c>
      <c r="W102" s="8">
        <f t="shared" ref="W102:W136" si="43">YEAR(D102)</f>
        <v>2026</v>
      </c>
      <c r="X102" s="8">
        <f t="shared" ref="X102:X136" si="44">MONTH(D102)</f>
        <v>4</v>
      </c>
      <c r="Y102" s="83">
        <f t="shared" si="41"/>
        <v>29</v>
      </c>
      <c r="Z102" s="83" t="str">
        <f t="shared" si="42"/>
        <v>W5</v>
      </c>
      <c r="AA102" s="83" t="str">
        <f t="shared" ref="AA102:AA136" si="45">"Quý "&amp;ROMAN(ROUNDUP(X102/3,0))</f>
        <v>Quý II</v>
      </c>
      <c r="AB102" s="80" t="str">
        <f t="shared" si="40"/>
        <v>Partner</v>
      </c>
      <c r="AC102" s="7"/>
    </row>
    <row r="103" spans="1:29" x14ac:dyDescent="0.2">
      <c r="A103" s="7">
        <f t="shared" si="39"/>
        <v>102</v>
      </c>
      <c r="B103" s="7"/>
      <c r="C103" s="10" t="s">
        <v>296</v>
      </c>
      <c r="D103" s="31">
        <v>46142</v>
      </c>
      <c r="E103" s="12" t="s">
        <v>296</v>
      </c>
      <c r="F103" s="12" t="s">
        <v>117</v>
      </c>
      <c r="G103" s="12" t="s">
        <v>117</v>
      </c>
      <c r="H103" s="12"/>
      <c r="I103" s="7" t="s">
        <v>74</v>
      </c>
      <c r="J103" s="35">
        <f>+K103/1.08</f>
        <v>1605958.3333333333</v>
      </c>
      <c r="K103" s="70">
        <v>1734435</v>
      </c>
      <c r="L103" s="37"/>
      <c r="M103" s="37"/>
      <c r="N103" s="262"/>
      <c r="O103" s="37"/>
      <c r="P103" s="13" t="s">
        <v>180</v>
      </c>
      <c r="Q103" s="7" t="str">
        <f>VLOOKUP('Data Doanh số'!P103,'DROPDOWNDATA-NOFILL'!$A$1:$B$40,2,FALSE)</f>
        <v>TMĐT</v>
      </c>
      <c r="R103" s="183" t="s">
        <v>34</v>
      </c>
      <c r="S103" s="7" t="s">
        <v>44</v>
      </c>
      <c r="T103" s="7" t="s">
        <v>45</v>
      </c>
      <c r="U103" s="7" t="s">
        <v>65</v>
      </c>
      <c r="V103" s="31"/>
      <c r="W103" s="8">
        <f t="shared" si="43"/>
        <v>2026</v>
      </c>
      <c r="X103" s="8">
        <f t="shared" si="44"/>
        <v>4</v>
      </c>
      <c r="Y103" s="83">
        <f t="shared" si="41"/>
        <v>30</v>
      </c>
      <c r="Z103" s="83" t="str">
        <f t="shared" si="42"/>
        <v>W5</v>
      </c>
      <c r="AA103" s="83" t="str">
        <f t="shared" si="45"/>
        <v>Quý II</v>
      </c>
      <c r="AB103" s="80" t="str">
        <f t="shared" si="40"/>
        <v>TMĐT</v>
      </c>
      <c r="AC103" s="7"/>
    </row>
    <row r="104" spans="1:29" x14ac:dyDescent="0.2">
      <c r="A104" s="7">
        <f t="shared" si="39"/>
        <v>103</v>
      </c>
      <c r="B104" s="7" t="str">
        <f>LEFT(C104,12)</f>
        <v>29B2C2603012</v>
      </c>
      <c r="C104" s="49" t="s">
        <v>297</v>
      </c>
      <c r="D104" s="31">
        <v>46142</v>
      </c>
      <c r="E104" s="12" t="s">
        <v>298</v>
      </c>
      <c r="F104" s="12" t="s">
        <v>40</v>
      </c>
      <c r="G104" s="7" t="s">
        <v>40</v>
      </c>
      <c r="H104" s="7"/>
      <c r="I104" s="7" t="s">
        <v>51</v>
      </c>
      <c r="J104" s="35">
        <f>+K104/1.08</f>
        <v>317620370.37037033</v>
      </c>
      <c r="K104" s="70">
        <v>343030000</v>
      </c>
      <c r="L104" s="37"/>
      <c r="M104" s="70">
        <f>J104-J104*N104</f>
        <v>254096296.29629627</v>
      </c>
      <c r="N104" s="262">
        <v>0.2</v>
      </c>
      <c r="O104" s="37">
        <f>+N104*J104</f>
        <v>63524074.074074067</v>
      </c>
      <c r="P104" s="13" t="s">
        <v>140</v>
      </c>
      <c r="Q104" s="7" t="str">
        <f>VLOOKUP('Data Doanh số'!P104,'DROPDOWNDATA-NOFILL'!$A$1:$B$40,2,FALSE)</f>
        <v>BU 1</v>
      </c>
      <c r="R104" s="7" t="s">
        <v>34</v>
      </c>
      <c r="S104" s="7" t="s">
        <v>44</v>
      </c>
      <c r="T104" s="7" t="s">
        <v>45</v>
      </c>
      <c r="U104" s="7" t="s">
        <v>65</v>
      </c>
      <c r="V104" s="31">
        <v>46092</v>
      </c>
      <c r="W104" s="8">
        <f t="shared" si="43"/>
        <v>2026</v>
      </c>
      <c r="X104" s="8">
        <f t="shared" si="44"/>
        <v>4</v>
      </c>
      <c r="Y104" s="83">
        <f t="shared" si="41"/>
        <v>30</v>
      </c>
      <c r="Z104" s="83" t="str">
        <f t="shared" si="42"/>
        <v>W5</v>
      </c>
      <c r="AA104" s="83" t="str">
        <f t="shared" si="45"/>
        <v>Quý II</v>
      </c>
      <c r="AB104" s="80" t="str">
        <f t="shared" si="40"/>
        <v>MKT</v>
      </c>
      <c r="AC104" s="7"/>
    </row>
    <row r="105" spans="1:29" x14ac:dyDescent="0.2">
      <c r="A105" s="7">
        <f t="shared" si="39"/>
        <v>104</v>
      </c>
      <c r="B105" s="7" t="str">
        <f>LEFT(C105,12)</f>
        <v>29B2C2604022</v>
      </c>
      <c r="C105" s="10" t="s">
        <v>299</v>
      </c>
      <c r="D105" s="31">
        <v>46147</v>
      </c>
      <c r="E105" s="12" t="s">
        <v>300</v>
      </c>
      <c r="F105" s="12" t="s">
        <v>40</v>
      </c>
      <c r="G105" s="7" t="s">
        <v>102</v>
      </c>
      <c r="H105" s="7" t="s">
        <v>281</v>
      </c>
      <c r="I105" s="7" t="s">
        <v>51</v>
      </c>
      <c r="J105" s="35">
        <v>181944444</v>
      </c>
      <c r="K105" s="70">
        <v>196500000</v>
      </c>
      <c r="L105" s="37"/>
      <c r="M105" s="70">
        <f>J105-J105*N105</f>
        <v>123722221.92</v>
      </c>
      <c r="N105" s="262">
        <v>0.32</v>
      </c>
      <c r="O105" s="37">
        <f>+N105*J105</f>
        <v>58222222.079999998</v>
      </c>
      <c r="P105" s="13" t="s">
        <v>42</v>
      </c>
      <c r="Q105" s="7" t="str">
        <f>VLOOKUP('Data Doanh số'!P105,'DROPDOWNDATA-NOFILL'!$A$1:$B$40,2,FALSE)</f>
        <v>BU 1</v>
      </c>
      <c r="R105" s="7" t="s">
        <v>34</v>
      </c>
      <c r="S105" s="7" t="s">
        <v>44</v>
      </c>
      <c r="T105" s="7" t="s">
        <v>45</v>
      </c>
      <c r="U105" s="7" t="s">
        <v>65</v>
      </c>
      <c r="V105" s="31">
        <v>46136</v>
      </c>
      <c r="W105" s="8">
        <f t="shared" si="43"/>
        <v>2026</v>
      </c>
      <c r="X105" s="8">
        <f t="shared" si="44"/>
        <v>5</v>
      </c>
      <c r="Y105" s="83">
        <f t="shared" si="41"/>
        <v>5</v>
      </c>
      <c r="Z105" s="83" t="s">
        <v>301</v>
      </c>
      <c r="AA105" s="83" t="str">
        <f t="shared" si="45"/>
        <v>Quý II</v>
      </c>
      <c r="AB105" s="80" t="str">
        <f t="shared" si="40"/>
        <v>Partner</v>
      </c>
      <c r="AC105" s="7"/>
    </row>
    <row r="106" spans="1:29" x14ac:dyDescent="0.2">
      <c r="A106" s="7">
        <f t="shared" ref="A106:A121" si="46">ROW(C106)-1</f>
        <v>105</v>
      </c>
      <c r="B106" s="7" t="str">
        <f>LEFT(C106,12)</f>
        <v>51B2C2604009</v>
      </c>
      <c r="C106" s="10" t="s">
        <v>302</v>
      </c>
      <c r="D106" s="31">
        <v>46148</v>
      </c>
      <c r="E106" s="12" t="s">
        <v>303</v>
      </c>
      <c r="F106" s="12" t="s">
        <v>98</v>
      </c>
      <c r="G106" s="7" t="s">
        <v>98</v>
      </c>
      <c r="H106" s="7"/>
      <c r="I106" s="7" t="s">
        <v>51</v>
      </c>
      <c r="J106" s="35">
        <v>77770000</v>
      </c>
      <c r="K106" s="70">
        <v>83991600</v>
      </c>
      <c r="L106" s="37"/>
      <c r="M106" s="70">
        <f>J106-J106*N106</f>
        <v>59882900</v>
      </c>
      <c r="N106" s="262">
        <v>0.23</v>
      </c>
      <c r="O106" s="37">
        <f>+N106*J106</f>
        <v>17887100</v>
      </c>
      <c r="P106" s="13" t="s">
        <v>229</v>
      </c>
      <c r="Q106" s="7" t="str">
        <f>VLOOKUP('Data Doanh số'!P106,'DROPDOWNDATA-NOFILL'!$A$1:$B$40,2,FALSE)</f>
        <v>BU HCM</v>
      </c>
      <c r="R106" s="7" t="s">
        <v>60</v>
      </c>
      <c r="S106" s="7" t="s">
        <v>44</v>
      </c>
      <c r="T106" s="7" t="s">
        <v>99</v>
      </c>
      <c r="U106" s="7" t="s">
        <v>65</v>
      </c>
      <c r="V106" s="31">
        <v>46121</v>
      </c>
      <c r="W106" s="8">
        <f t="shared" si="43"/>
        <v>2026</v>
      </c>
      <c r="X106" s="8">
        <f t="shared" si="44"/>
        <v>5</v>
      </c>
      <c r="Y106" s="83">
        <f t="shared" si="41"/>
        <v>6</v>
      </c>
      <c r="Z106" s="83" t="s">
        <v>301</v>
      </c>
      <c r="AA106" s="83" t="str">
        <f t="shared" si="45"/>
        <v>Quý II</v>
      </c>
      <c r="AB106" s="80" t="str">
        <f t="shared" si="40"/>
        <v>MKT</v>
      </c>
      <c r="AC106" s="7"/>
    </row>
    <row r="107" spans="1:29" x14ac:dyDescent="0.2">
      <c r="A107" s="7">
        <f t="shared" si="46"/>
        <v>106</v>
      </c>
      <c r="B107" s="7" t="str">
        <f>LEFT(C107,12)</f>
        <v>51B2B2605001</v>
      </c>
      <c r="C107" s="49" t="s">
        <v>304</v>
      </c>
      <c r="D107" s="31">
        <v>46148</v>
      </c>
      <c r="E107" s="12" t="s">
        <v>305</v>
      </c>
      <c r="F107" s="12" t="s">
        <v>102</v>
      </c>
      <c r="G107" s="7" t="s">
        <v>31</v>
      </c>
      <c r="H107" s="7"/>
      <c r="I107" s="7" t="s">
        <v>51</v>
      </c>
      <c r="J107" s="35">
        <v>356000000</v>
      </c>
      <c r="K107" s="70">
        <v>384480000</v>
      </c>
      <c r="L107" s="37"/>
      <c r="M107" s="70">
        <f>J107-J107*N107</f>
        <v>302600000</v>
      </c>
      <c r="N107" s="262">
        <v>0.15</v>
      </c>
      <c r="O107" s="37">
        <f>+N107*J107</f>
        <v>53400000</v>
      </c>
      <c r="P107" s="13" t="s">
        <v>226</v>
      </c>
      <c r="Q107" s="7" t="str">
        <f>VLOOKUP('Data Doanh số'!P107,'DROPDOWNDATA-NOFILL'!$A$1:$B$40,2,FALSE)</f>
        <v>BU HCM</v>
      </c>
      <c r="R107" s="7" t="s">
        <v>60</v>
      </c>
      <c r="S107" s="7" t="s">
        <v>35</v>
      </c>
      <c r="T107" s="7" t="s">
        <v>99</v>
      </c>
      <c r="U107" s="7" t="s">
        <v>219</v>
      </c>
      <c r="V107" s="31">
        <v>46148</v>
      </c>
      <c r="W107" s="8">
        <f t="shared" si="43"/>
        <v>2026</v>
      </c>
      <c r="X107" s="8">
        <f t="shared" si="44"/>
        <v>5</v>
      </c>
      <c r="Y107" s="83">
        <f t="shared" si="41"/>
        <v>6</v>
      </c>
      <c r="Z107" s="83" t="s">
        <v>301</v>
      </c>
      <c r="AA107" s="83" t="str">
        <f t="shared" si="45"/>
        <v>Quý II</v>
      </c>
      <c r="AB107" s="80" t="str">
        <f t="shared" si="40"/>
        <v>Customer</v>
      </c>
      <c r="AC107" s="7"/>
    </row>
    <row r="108" spans="1:29" x14ac:dyDescent="0.2">
      <c r="A108" s="7">
        <f t="shared" si="46"/>
        <v>107</v>
      </c>
      <c r="B108" s="7"/>
      <c r="C108" s="10" t="s">
        <v>306</v>
      </c>
      <c r="D108" s="31">
        <v>46151</v>
      </c>
      <c r="E108" s="12" t="s">
        <v>306</v>
      </c>
      <c r="F108" s="12" t="s">
        <v>117</v>
      </c>
      <c r="G108" s="12" t="s">
        <v>117</v>
      </c>
      <c r="H108" s="12"/>
      <c r="I108" s="7" t="s">
        <v>74</v>
      </c>
      <c r="J108" s="35">
        <f>+K108/1.08</f>
        <v>1298056.4814814813</v>
      </c>
      <c r="K108" s="70">
        <v>1401901</v>
      </c>
      <c r="L108" s="37"/>
      <c r="M108" s="70"/>
      <c r="N108" s="262"/>
      <c r="O108" s="37"/>
      <c r="P108" s="13" t="s">
        <v>180</v>
      </c>
      <c r="Q108" s="7" t="str">
        <f>VLOOKUP('Data Doanh số'!P108,'DROPDOWNDATA-NOFILL'!$A$1:$B$40,2,FALSE)</f>
        <v>TMĐT</v>
      </c>
      <c r="R108" s="183" t="s">
        <v>34</v>
      </c>
      <c r="S108" s="7" t="s">
        <v>44</v>
      </c>
      <c r="T108" s="7" t="s">
        <v>45</v>
      </c>
      <c r="U108" s="7" t="s">
        <v>65</v>
      </c>
      <c r="V108" s="31"/>
      <c r="W108" s="8">
        <f t="shared" si="43"/>
        <v>2026</v>
      </c>
      <c r="X108" s="8">
        <f t="shared" si="44"/>
        <v>5</v>
      </c>
      <c r="Y108" s="83">
        <f t="shared" si="41"/>
        <v>9</v>
      </c>
      <c r="Z108" s="83" t="s">
        <v>301</v>
      </c>
      <c r="AA108" s="83" t="str">
        <f t="shared" si="45"/>
        <v>Quý II</v>
      </c>
      <c r="AB108" s="80" t="str">
        <f t="shared" si="40"/>
        <v>TMĐT</v>
      </c>
      <c r="AC108" s="7"/>
    </row>
    <row r="109" spans="1:29" x14ac:dyDescent="0.2">
      <c r="A109" s="7">
        <f t="shared" si="46"/>
        <v>108</v>
      </c>
      <c r="B109" s="7" t="str">
        <f>LEFT(C109,12)</f>
        <v>29B2C2505005</v>
      </c>
      <c r="C109" s="10" t="s">
        <v>307</v>
      </c>
      <c r="D109" s="31">
        <v>46153</v>
      </c>
      <c r="E109" s="12" t="s">
        <v>308</v>
      </c>
      <c r="F109" s="12" t="s">
        <v>40</v>
      </c>
      <c r="G109" s="7" t="s">
        <v>40</v>
      </c>
      <c r="H109" s="7"/>
      <c r="I109" s="7" t="s">
        <v>41</v>
      </c>
      <c r="J109" s="35">
        <v>8962963</v>
      </c>
      <c r="K109" s="70">
        <v>9680000</v>
      </c>
      <c r="L109" s="37"/>
      <c r="M109" s="70">
        <f>J109-J109*N109</f>
        <v>7170370.4000000004</v>
      </c>
      <c r="N109" s="262">
        <v>0.2</v>
      </c>
      <c r="O109" s="37">
        <f>+N109*J109</f>
        <v>1792592.6</v>
      </c>
      <c r="P109" s="13" t="s">
        <v>42</v>
      </c>
      <c r="Q109" s="7" t="str">
        <f>VLOOKUP('Data Doanh số'!P109,'DROPDOWNDATA-NOFILL'!$A$1:$B$40,2,FALSE)</f>
        <v>BU 1</v>
      </c>
      <c r="R109" s="7" t="s">
        <v>34</v>
      </c>
      <c r="S109" s="7" t="s">
        <v>44</v>
      </c>
      <c r="T109" s="7" t="s">
        <v>45</v>
      </c>
      <c r="U109" s="31" t="s">
        <v>46</v>
      </c>
      <c r="V109" s="31">
        <v>46121</v>
      </c>
      <c r="W109" s="8">
        <f t="shared" si="43"/>
        <v>2026</v>
      </c>
      <c r="X109" s="8">
        <f t="shared" si="44"/>
        <v>5</v>
      </c>
      <c r="Y109" s="83">
        <f t="shared" si="41"/>
        <v>11</v>
      </c>
      <c r="Z109" s="83" t="s">
        <v>309</v>
      </c>
      <c r="AA109" s="83" t="str">
        <f t="shared" si="45"/>
        <v>Quý II</v>
      </c>
      <c r="AB109" s="80" t="str">
        <f t="shared" si="40"/>
        <v>MKT</v>
      </c>
      <c r="AC109" s="7"/>
    </row>
    <row r="110" spans="1:29" x14ac:dyDescent="0.2">
      <c r="A110" s="7">
        <f t="shared" si="46"/>
        <v>109</v>
      </c>
      <c r="B110" s="7" t="str">
        <f>LEFT(C110,12)</f>
        <v>29B2B2604015</v>
      </c>
      <c r="C110" s="10" t="s">
        <v>310</v>
      </c>
      <c r="D110" s="31">
        <v>46154</v>
      </c>
      <c r="E110" s="12" t="s">
        <v>311</v>
      </c>
      <c r="F110" s="12" t="s">
        <v>79</v>
      </c>
      <c r="G110" s="7" t="s">
        <v>79</v>
      </c>
      <c r="H110" s="7"/>
      <c r="I110" s="7" t="s">
        <v>41</v>
      </c>
      <c r="J110" s="35">
        <v>160950000</v>
      </c>
      <c r="K110" s="70">
        <v>173826000</v>
      </c>
      <c r="L110" s="37"/>
      <c r="M110" s="70">
        <f>J110-J110*N110</f>
        <v>128760000</v>
      </c>
      <c r="N110" s="262">
        <v>0.2</v>
      </c>
      <c r="O110" s="37">
        <f>+N110*J110</f>
        <v>32190000</v>
      </c>
      <c r="P110" s="13" t="s">
        <v>312</v>
      </c>
      <c r="Q110" s="7" t="str">
        <f>VLOOKUP('Data Doanh số'!P110,'DROPDOWNDATA-NOFILL'!$A$1:$B$40,2,FALSE)</f>
        <v>BU 2</v>
      </c>
      <c r="R110" s="7" t="s">
        <v>60</v>
      </c>
      <c r="S110" s="7" t="s">
        <v>35</v>
      </c>
      <c r="T110" s="7" t="s">
        <v>313</v>
      </c>
      <c r="U110" s="31" t="s">
        <v>314</v>
      </c>
      <c r="V110" s="31">
        <v>45579</v>
      </c>
      <c r="W110" s="8">
        <f t="shared" si="43"/>
        <v>2026</v>
      </c>
      <c r="X110" s="8">
        <f t="shared" si="44"/>
        <v>5</v>
      </c>
      <c r="Y110" s="83">
        <f t="shared" si="41"/>
        <v>12</v>
      </c>
      <c r="Z110" s="83" t="s">
        <v>309</v>
      </c>
      <c r="AA110" s="83" t="str">
        <f t="shared" si="45"/>
        <v>Quý II</v>
      </c>
      <c r="AB110" s="80" t="str">
        <f t="shared" si="40"/>
        <v>Reference</v>
      </c>
      <c r="AC110" s="7"/>
    </row>
    <row r="111" spans="1:29" x14ac:dyDescent="0.2">
      <c r="A111" s="7">
        <f t="shared" si="46"/>
        <v>110</v>
      </c>
      <c r="B111" s="7" t="str">
        <f>LEFT(C111,12)</f>
        <v>29B2C2605002</v>
      </c>
      <c r="C111" s="10" t="s">
        <v>315</v>
      </c>
      <c r="D111" s="31">
        <v>46155</v>
      </c>
      <c r="E111" s="12" t="s">
        <v>316</v>
      </c>
      <c r="F111" s="12" t="s">
        <v>317</v>
      </c>
      <c r="G111" s="7" t="s">
        <v>317</v>
      </c>
      <c r="H111" s="7"/>
      <c r="I111" s="7" t="s">
        <v>51</v>
      </c>
      <c r="J111" s="35">
        <v>52685185</v>
      </c>
      <c r="K111" s="70">
        <v>56900000</v>
      </c>
      <c r="L111" s="37"/>
      <c r="M111" s="70">
        <f>J111-J111*N111</f>
        <v>40040740.600000001</v>
      </c>
      <c r="N111" s="262">
        <v>0.24</v>
      </c>
      <c r="O111" s="37">
        <f>+N111*J111</f>
        <v>12644444.4</v>
      </c>
      <c r="P111" s="13" t="s">
        <v>113</v>
      </c>
      <c r="Q111" s="7" t="str">
        <f>VLOOKUP('Data Doanh số'!P111,'DROPDOWNDATA-NOFILL'!$A$1:$B$40,2,FALSE)</f>
        <v>BU 1</v>
      </c>
      <c r="R111" s="7" t="s">
        <v>318</v>
      </c>
      <c r="S111" s="7" t="s">
        <v>44</v>
      </c>
      <c r="T111" s="7" t="s">
        <v>64</v>
      </c>
      <c r="U111" s="31" t="s">
        <v>76</v>
      </c>
      <c r="V111" s="31">
        <v>46156</v>
      </c>
      <c r="W111" s="8">
        <f t="shared" si="43"/>
        <v>2026</v>
      </c>
      <c r="X111" s="8">
        <f t="shared" si="44"/>
        <v>5</v>
      </c>
      <c r="Y111" s="83">
        <f t="shared" si="41"/>
        <v>13</v>
      </c>
      <c r="Z111" s="83" t="s">
        <v>309</v>
      </c>
      <c r="AA111" s="83" t="str">
        <f t="shared" si="45"/>
        <v>Quý II</v>
      </c>
      <c r="AB111" s="80" t="str">
        <f t="shared" si="40"/>
        <v>Holding</v>
      </c>
      <c r="AC111" s="7"/>
    </row>
    <row r="112" spans="1:29" x14ac:dyDescent="0.2">
      <c r="A112" s="7">
        <f t="shared" si="46"/>
        <v>111</v>
      </c>
      <c r="B112" s="7" t="str">
        <f>LEFT(C112,12)</f>
        <v>29B2C2601010</v>
      </c>
      <c r="C112" s="10" t="s">
        <v>319</v>
      </c>
      <c r="D112" s="31">
        <v>46158</v>
      </c>
      <c r="E112" s="12" t="s">
        <v>128</v>
      </c>
      <c r="F112" s="12" t="s">
        <v>40</v>
      </c>
      <c r="G112" s="7" t="s">
        <v>40</v>
      </c>
      <c r="H112" s="7"/>
      <c r="I112" s="7" t="s">
        <v>51</v>
      </c>
      <c r="J112" s="67">
        <f>+K112/1.08</f>
        <v>269123696.2962963</v>
      </c>
      <c r="K112" s="70">
        <v>290653592</v>
      </c>
      <c r="L112" s="70"/>
      <c r="M112" s="70">
        <f>J112-J112*N112</f>
        <v>215298957.03703704</v>
      </c>
      <c r="N112" s="261">
        <v>0.2</v>
      </c>
      <c r="O112" s="37">
        <f>+N112*J112</f>
        <v>53824739.259259261</v>
      </c>
      <c r="P112" s="13" t="s">
        <v>130</v>
      </c>
      <c r="Q112" s="7" t="str">
        <f>VLOOKUP('Data Doanh số'!P112,'DROPDOWNDATA-NOFILL'!$A$1:$B$40,2,FALSE)</f>
        <v>BU 3</v>
      </c>
      <c r="R112" s="7" t="s">
        <v>43</v>
      </c>
      <c r="S112" s="7" t="s">
        <v>44</v>
      </c>
      <c r="T112" s="7" t="s">
        <v>45</v>
      </c>
      <c r="U112" s="7" t="s">
        <v>65</v>
      </c>
      <c r="V112" s="31">
        <v>46027</v>
      </c>
      <c r="W112" s="8">
        <f t="shared" si="43"/>
        <v>2026</v>
      </c>
      <c r="X112" s="8">
        <f t="shared" si="44"/>
        <v>5</v>
      </c>
      <c r="Y112" s="83">
        <f t="shared" si="41"/>
        <v>16</v>
      </c>
      <c r="Z112" s="83" t="s">
        <v>309</v>
      </c>
      <c r="AA112" s="83" t="str">
        <f t="shared" si="45"/>
        <v>Quý II</v>
      </c>
      <c r="AB112" s="80" t="str">
        <f t="shared" si="40"/>
        <v>MKT</v>
      </c>
      <c r="AC112" s="7"/>
    </row>
    <row r="113" spans="1:29" ht="30" x14ac:dyDescent="0.2">
      <c r="A113" s="7">
        <f t="shared" si="46"/>
        <v>112</v>
      </c>
      <c r="B113" s="7" t="str">
        <f>LEFT(C113,12)</f>
        <v>29B2C2605003</v>
      </c>
      <c r="C113" s="10" t="s">
        <v>320</v>
      </c>
      <c r="D113" s="31">
        <v>46158</v>
      </c>
      <c r="E113" s="12" t="s">
        <v>321</v>
      </c>
      <c r="F113" s="12" t="s">
        <v>98</v>
      </c>
      <c r="G113" s="7" t="s">
        <v>98</v>
      </c>
      <c r="H113" s="7"/>
      <c r="I113" s="7" t="s">
        <v>41</v>
      </c>
      <c r="J113" s="349">
        <f>+K113/1.08</f>
        <v>7222222.222222222</v>
      </c>
      <c r="K113" s="70">
        <v>7800000</v>
      </c>
      <c r="L113" s="37"/>
      <c r="M113" s="70">
        <f>J113-J113*N113</f>
        <v>5777777.777777778</v>
      </c>
      <c r="N113" s="262">
        <v>0.2</v>
      </c>
      <c r="O113" s="37">
        <f>+N113*J113</f>
        <v>1444444.4444444445</v>
      </c>
      <c r="P113" s="13" t="s">
        <v>113</v>
      </c>
      <c r="Q113" s="7" t="str">
        <f>VLOOKUP('Data Doanh số'!P113,'DROPDOWNDATA-NOFILL'!$A$1:$B$40,2,FALSE)</f>
        <v>BU 1</v>
      </c>
      <c r="R113" s="7" t="s">
        <v>34</v>
      </c>
      <c r="S113" s="7" t="s">
        <v>44</v>
      </c>
      <c r="T113" s="7" t="s">
        <v>45</v>
      </c>
      <c r="U113" s="7" t="s">
        <v>65</v>
      </c>
      <c r="V113" s="31">
        <v>46145</v>
      </c>
      <c r="W113" s="8">
        <f t="shared" si="43"/>
        <v>2026</v>
      </c>
      <c r="X113" s="8">
        <f t="shared" si="44"/>
        <v>5</v>
      </c>
      <c r="Y113" s="83">
        <f t="shared" si="41"/>
        <v>16</v>
      </c>
      <c r="Z113" s="83" t="s">
        <v>309</v>
      </c>
      <c r="AA113" s="83" t="str">
        <f t="shared" si="45"/>
        <v>Quý II</v>
      </c>
      <c r="AB113" s="80" t="str">
        <f t="shared" si="40"/>
        <v>MKT</v>
      </c>
      <c r="AC113" s="7"/>
    </row>
    <row r="114" spans="1:29" x14ac:dyDescent="0.2">
      <c r="A114" s="7">
        <f t="shared" si="46"/>
        <v>113</v>
      </c>
      <c r="B114" s="7"/>
      <c r="C114" s="10" t="s">
        <v>322</v>
      </c>
      <c r="D114" s="31">
        <v>46158</v>
      </c>
      <c r="E114" s="12" t="s">
        <v>322</v>
      </c>
      <c r="F114" s="12" t="s">
        <v>117</v>
      </c>
      <c r="G114" s="7" t="s">
        <v>117</v>
      </c>
      <c r="H114" s="7"/>
      <c r="I114" s="7" t="s">
        <v>74</v>
      </c>
      <c r="J114" s="35">
        <f>1186546.14814815-300000</f>
        <v>886546.14814814995</v>
      </c>
      <c r="K114" s="70">
        <f>+J114*1.08</f>
        <v>957469.84000000206</v>
      </c>
      <c r="L114" s="37"/>
      <c r="M114" s="70"/>
      <c r="N114" s="262"/>
      <c r="O114" s="37"/>
      <c r="P114" s="13" t="s">
        <v>180</v>
      </c>
      <c r="Q114" s="7" t="str">
        <f>VLOOKUP('Data Doanh số'!P114,'DROPDOWNDATA-NOFILL'!$A$1:$B$40,2,FALSE)</f>
        <v>TMĐT</v>
      </c>
      <c r="R114" s="7" t="s">
        <v>34</v>
      </c>
      <c r="S114" s="7" t="s">
        <v>44</v>
      </c>
      <c r="T114" s="7" t="s">
        <v>45</v>
      </c>
      <c r="U114" s="7" t="s">
        <v>65</v>
      </c>
      <c r="V114" s="31"/>
      <c r="W114" s="8">
        <f t="shared" si="43"/>
        <v>2026</v>
      </c>
      <c r="X114" s="8">
        <f t="shared" si="44"/>
        <v>5</v>
      </c>
      <c r="Y114" s="83">
        <f t="shared" si="41"/>
        <v>16</v>
      </c>
      <c r="Z114" s="83" t="s">
        <v>309</v>
      </c>
      <c r="AA114" s="83" t="str">
        <f t="shared" si="45"/>
        <v>Quý II</v>
      </c>
      <c r="AB114" s="80" t="str">
        <f t="shared" si="40"/>
        <v>TMĐT</v>
      </c>
      <c r="AC114" s="7"/>
    </row>
    <row r="115" spans="1:29" x14ac:dyDescent="0.2">
      <c r="A115" s="7">
        <f t="shared" si="46"/>
        <v>114</v>
      </c>
      <c r="B115" s="7" t="str">
        <f>LEFT(C115,12)</f>
        <v>29REN2404036</v>
      </c>
      <c r="C115" s="10" t="s">
        <v>323</v>
      </c>
      <c r="D115" s="31">
        <v>46162</v>
      </c>
      <c r="E115" s="12" t="s">
        <v>324</v>
      </c>
      <c r="F115" s="12" t="s">
        <v>40</v>
      </c>
      <c r="G115" s="7" t="s">
        <v>31</v>
      </c>
      <c r="H115" s="7"/>
      <c r="I115" s="7" t="s">
        <v>70</v>
      </c>
      <c r="J115" s="35">
        <v>24602778</v>
      </c>
      <c r="K115" s="70">
        <v>26571000</v>
      </c>
      <c r="L115" s="37"/>
      <c r="M115" s="70">
        <f>J115-J115*N115</f>
        <v>12301389</v>
      </c>
      <c r="N115" s="262">
        <v>0.5</v>
      </c>
      <c r="O115" s="37">
        <f>+N115*J115</f>
        <v>12301389</v>
      </c>
      <c r="P115" s="13" t="s">
        <v>42</v>
      </c>
      <c r="Q115" s="7" t="str">
        <f>VLOOKUP('Data Doanh số'!P115,'DROPDOWNDATA-NOFILL'!$A$1:$B$40,2,FALSE)</f>
        <v>BU 1</v>
      </c>
      <c r="R115" s="7" t="s">
        <v>70</v>
      </c>
      <c r="S115" s="7" t="s">
        <v>44</v>
      </c>
      <c r="T115" s="7" t="s">
        <v>45</v>
      </c>
      <c r="U115" s="7" t="s">
        <v>46</v>
      </c>
      <c r="V115" s="31">
        <v>46163</v>
      </c>
      <c r="W115" s="8">
        <f t="shared" si="43"/>
        <v>2026</v>
      </c>
      <c r="X115" s="8">
        <f t="shared" si="44"/>
        <v>5</v>
      </c>
      <c r="Y115" s="83">
        <f t="shared" si="41"/>
        <v>20</v>
      </c>
      <c r="Z115" s="83" t="s">
        <v>325</v>
      </c>
      <c r="AA115" s="83" t="str">
        <f t="shared" si="45"/>
        <v>Quý II</v>
      </c>
      <c r="AB115" s="80" t="str">
        <f t="shared" si="40"/>
        <v>Customer</v>
      </c>
      <c r="AC115" s="7"/>
    </row>
    <row r="116" spans="1:29" x14ac:dyDescent="0.2">
      <c r="A116" s="7">
        <f t="shared" si="46"/>
        <v>115</v>
      </c>
      <c r="B116" s="7" t="str">
        <f>LEFT(C116,12)</f>
        <v>29B2B2605020</v>
      </c>
      <c r="C116" s="10" t="s">
        <v>326</v>
      </c>
      <c r="D116" s="31">
        <v>46162</v>
      </c>
      <c r="E116" s="12" t="s">
        <v>327</v>
      </c>
      <c r="F116" s="12" t="s">
        <v>79</v>
      </c>
      <c r="G116" s="7" t="s">
        <v>317</v>
      </c>
      <c r="H116" s="7"/>
      <c r="I116" s="7" t="s">
        <v>51</v>
      </c>
      <c r="J116" s="35">
        <v>2417953181</v>
      </c>
      <c r="K116" s="70">
        <v>2611389435</v>
      </c>
      <c r="L116" s="37"/>
      <c r="M116" s="70">
        <f>J116-J116*N116</f>
        <v>1861823949.3699999</v>
      </c>
      <c r="N116" s="262">
        <v>0.23</v>
      </c>
      <c r="O116" s="37">
        <f>+N116*J116</f>
        <v>556129231.63</v>
      </c>
      <c r="P116" s="13" t="s">
        <v>312</v>
      </c>
      <c r="Q116" s="7" t="str">
        <f>VLOOKUP('Data Doanh số'!P116,'DROPDOWNDATA-NOFILL'!$A$1:$B$40,2,FALSE)</f>
        <v>BU 2</v>
      </c>
      <c r="R116" s="7" t="s">
        <v>34</v>
      </c>
      <c r="S116" s="7" t="s">
        <v>35</v>
      </c>
      <c r="T116" s="7" t="s">
        <v>45</v>
      </c>
      <c r="U116" s="7" t="s">
        <v>314</v>
      </c>
      <c r="V116" s="31">
        <v>45815</v>
      </c>
      <c r="W116" s="8">
        <f t="shared" si="43"/>
        <v>2026</v>
      </c>
      <c r="X116" s="8">
        <f t="shared" si="44"/>
        <v>5</v>
      </c>
      <c r="Y116" s="83">
        <f t="shared" si="41"/>
        <v>20</v>
      </c>
      <c r="Z116" s="83" t="s">
        <v>325</v>
      </c>
      <c r="AA116" s="83" t="str">
        <f t="shared" si="45"/>
        <v>Quý II</v>
      </c>
      <c r="AB116" s="80" t="str">
        <f t="shared" ref="AB116:AB136" si="47">IF(OR(G116="Facebook",G116="Hotline",G116="Zalo",G116="Website",G116="Walk in"),"MKT",G116)</f>
        <v>Holding</v>
      </c>
      <c r="AC116" s="7"/>
    </row>
    <row r="117" spans="1:29" ht="45" x14ac:dyDescent="0.2">
      <c r="A117" s="7">
        <f t="shared" si="46"/>
        <v>116</v>
      </c>
      <c r="B117" s="7" t="str">
        <f>LEFT(C117,12)</f>
        <v>29B2C2603016</v>
      </c>
      <c r="C117" s="10" t="s">
        <v>328</v>
      </c>
      <c r="D117" s="31">
        <v>46163</v>
      </c>
      <c r="E117" s="12" t="s">
        <v>329</v>
      </c>
      <c r="F117" s="12" t="s">
        <v>133</v>
      </c>
      <c r="G117" s="7" t="s">
        <v>133</v>
      </c>
      <c r="H117" s="7"/>
      <c r="I117" s="7" t="s">
        <v>51</v>
      </c>
      <c r="J117" s="35">
        <v>43897628.700000003</v>
      </c>
      <c r="K117" s="70">
        <v>47409439</v>
      </c>
      <c r="L117" s="37"/>
      <c r="M117" s="70">
        <f>J117-J117*N117</f>
        <v>36435031.821000002</v>
      </c>
      <c r="N117" s="262">
        <v>0.17</v>
      </c>
      <c r="O117" s="37">
        <f>+N117*J117</f>
        <v>7462596.8790000007</v>
      </c>
      <c r="P117" s="13" t="s">
        <v>71</v>
      </c>
      <c r="Q117" s="7" t="str">
        <f>VLOOKUP('Data Doanh số'!P117,'DROPDOWNDATA-NOFILL'!$A$1:$B$40,2,FALSE)</f>
        <v>BU 1</v>
      </c>
      <c r="R117" s="7" t="s">
        <v>34</v>
      </c>
      <c r="S117" s="7" t="s">
        <v>35</v>
      </c>
      <c r="T117" s="7" t="s">
        <v>45</v>
      </c>
      <c r="U117" s="7" t="s">
        <v>219</v>
      </c>
      <c r="V117" s="31">
        <v>46105</v>
      </c>
      <c r="W117" s="8">
        <f t="shared" si="43"/>
        <v>2026</v>
      </c>
      <c r="X117" s="8">
        <f t="shared" si="44"/>
        <v>5</v>
      </c>
      <c r="Y117" s="83">
        <f t="shared" si="41"/>
        <v>21</v>
      </c>
      <c r="Z117" s="83" t="s">
        <v>325</v>
      </c>
      <c r="AA117" s="83" t="str">
        <f t="shared" si="45"/>
        <v>Quý II</v>
      </c>
      <c r="AB117" s="80" t="str">
        <f t="shared" si="47"/>
        <v>Sale tự kiếm</v>
      </c>
      <c r="AC117" s="7"/>
    </row>
    <row r="118" spans="1:29" x14ac:dyDescent="0.2">
      <c r="A118" s="7">
        <f t="shared" si="46"/>
        <v>117</v>
      </c>
      <c r="B118" s="7" t="str">
        <f>LEFT(C118,12)</f>
        <v>29B2C2605008</v>
      </c>
      <c r="C118" s="10" t="s">
        <v>330</v>
      </c>
      <c r="D118" s="31">
        <v>46163</v>
      </c>
      <c r="E118" s="12" t="s">
        <v>331</v>
      </c>
      <c r="F118" s="7" t="s">
        <v>79</v>
      </c>
      <c r="G118" s="7" t="s">
        <v>79</v>
      </c>
      <c r="H118" s="7"/>
      <c r="I118" s="7" t="s">
        <v>51</v>
      </c>
      <c r="J118" s="35">
        <v>135370370</v>
      </c>
      <c r="K118" s="70">
        <v>146200000</v>
      </c>
      <c r="L118" s="37"/>
      <c r="M118" s="70">
        <f>J118-J118*N118</f>
        <v>104235184.90000001</v>
      </c>
      <c r="N118" s="262">
        <v>0.23</v>
      </c>
      <c r="O118" s="37">
        <f>+N118*J118</f>
        <v>31135185.100000001</v>
      </c>
      <c r="P118" s="13" t="s">
        <v>42</v>
      </c>
      <c r="Q118" s="7" t="str">
        <f>VLOOKUP('Data Doanh số'!P118,'DROPDOWNDATA-NOFILL'!$A$1:$B$40,2,FALSE)</f>
        <v>BU 1</v>
      </c>
      <c r="R118" s="12" t="s">
        <v>60</v>
      </c>
      <c r="S118" s="12" t="s">
        <v>44</v>
      </c>
      <c r="T118" s="12" t="s">
        <v>332</v>
      </c>
      <c r="U118" s="12" t="s">
        <v>65</v>
      </c>
      <c r="V118" s="31">
        <v>46165</v>
      </c>
      <c r="W118" s="8">
        <f t="shared" si="43"/>
        <v>2026</v>
      </c>
      <c r="X118" s="8">
        <f t="shared" si="44"/>
        <v>5</v>
      </c>
      <c r="Y118" s="83">
        <f t="shared" si="41"/>
        <v>21</v>
      </c>
      <c r="Z118" s="83" t="s">
        <v>325</v>
      </c>
      <c r="AA118" s="83" t="str">
        <f t="shared" si="45"/>
        <v>Quý II</v>
      </c>
      <c r="AB118" s="80" t="str">
        <f t="shared" si="47"/>
        <v>Reference</v>
      </c>
      <c r="AC118" s="7"/>
    </row>
    <row r="119" spans="1:29" x14ac:dyDescent="0.2">
      <c r="A119" s="7">
        <f t="shared" si="46"/>
        <v>118</v>
      </c>
      <c r="B119" s="7" t="s">
        <v>285</v>
      </c>
      <c r="C119" s="10" t="s">
        <v>333</v>
      </c>
      <c r="D119" s="31">
        <v>46165</v>
      </c>
      <c r="E119" s="12" t="s">
        <v>286</v>
      </c>
      <c r="F119" s="12" t="s">
        <v>40</v>
      </c>
      <c r="G119" s="7" t="s">
        <v>40</v>
      </c>
      <c r="H119" s="7"/>
      <c r="I119" s="7" t="s">
        <v>51</v>
      </c>
      <c r="J119" s="35">
        <v>155544997</v>
      </c>
      <c r="K119" s="70">
        <v>167988597</v>
      </c>
      <c r="L119" s="37"/>
      <c r="M119" s="70">
        <f>J119-J119*N119</f>
        <v>105770597.96000001</v>
      </c>
      <c r="N119" s="262">
        <v>0.32</v>
      </c>
      <c r="O119" s="37">
        <f>+N119*J119</f>
        <v>49774399.039999999</v>
      </c>
      <c r="P119" s="13" t="s">
        <v>83</v>
      </c>
      <c r="Q119" s="7" t="str">
        <f>VLOOKUP('Data Doanh số'!P119,'DROPDOWNDATA-NOFILL'!$A$1:$B$40,2,FALSE)</f>
        <v>BU 1</v>
      </c>
      <c r="R119" s="7" t="s">
        <v>259</v>
      </c>
      <c r="S119" s="7" t="s">
        <v>44</v>
      </c>
      <c r="T119" s="7" t="s">
        <v>45</v>
      </c>
      <c r="U119" s="7" t="s">
        <v>65</v>
      </c>
      <c r="V119" s="31">
        <v>46123</v>
      </c>
      <c r="W119" s="8">
        <f t="shared" si="43"/>
        <v>2026</v>
      </c>
      <c r="X119" s="8">
        <f t="shared" si="44"/>
        <v>5</v>
      </c>
      <c r="Y119" s="83">
        <f t="shared" si="41"/>
        <v>23</v>
      </c>
      <c r="Z119" s="83" t="s">
        <v>325</v>
      </c>
      <c r="AA119" s="83" t="str">
        <f t="shared" si="45"/>
        <v>Quý II</v>
      </c>
      <c r="AB119" s="80" t="str">
        <f t="shared" si="47"/>
        <v>MKT</v>
      </c>
      <c r="AC119" s="7"/>
    </row>
    <row r="120" spans="1:29" x14ac:dyDescent="0.2">
      <c r="A120" s="7">
        <f t="shared" si="46"/>
        <v>119</v>
      </c>
      <c r="B120" s="7"/>
      <c r="C120" s="10" t="s">
        <v>334</v>
      </c>
      <c r="D120" s="31">
        <v>46165</v>
      </c>
      <c r="E120" s="7" t="s">
        <v>334</v>
      </c>
      <c r="F120" s="12" t="s">
        <v>117</v>
      </c>
      <c r="G120" s="7" t="s">
        <v>117</v>
      </c>
      <c r="H120" s="7"/>
      <c r="I120" s="7" t="s">
        <v>74</v>
      </c>
      <c r="J120" s="35">
        <v>1164391</v>
      </c>
      <c r="K120" s="70">
        <f>+J120*1.08</f>
        <v>1257542.28</v>
      </c>
      <c r="L120" s="37"/>
      <c r="M120" s="70"/>
      <c r="N120" s="37"/>
      <c r="O120" s="37"/>
      <c r="P120" s="13" t="s">
        <v>180</v>
      </c>
      <c r="Q120" s="7" t="str">
        <f>VLOOKUP('Data Doanh số'!P120,'DROPDOWNDATA-NOFILL'!$A$1:$B$40,2,FALSE)</f>
        <v>TMĐT</v>
      </c>
      <c r="R120" s="7"/>
      <c r="S120" s="12" t="s">
        <v>44</v>
      </c>
      <c r="T120" s="7" t="s">
        <v>45</v>
      </c>
      <c r="U120" s="12" t="s">
        <v>65</v>
      </c>
      <c r="V120" s="31"/>
      <c r="W120" s="8">
        <f t="shared" si="43"/>
        <v>2026</v>
      </c>
      <c r="X120" s="8">
        <f t="shared" si="44"/>
        <v>5</v>
      </c>
      <c r="Y120" s="83">
        <f t="shared" si="41"/>
        <v>23</v>
      </c>
      <c r="Z120" s="83" t="s">
        <v>325</v>
      </c>
      <c r="AA120" s="83" t="str">
        <f t="shared" si="45"/>
        <v>Quý II</v>
      </c>
      <c r="AB120" s="80" t="str">
        <f t="shared" si="47"/>
        <v>TMĐT</v>
      </c>
      <c r="AC120" s="7"/>
    </row>
    <row r="121" spans="1:29" x14ac:dyDescent="0.2">
      <c r="A121" s="7">
        <f t="shared" si="46"/>
        <v>120</v>
      </c>
      <c r="B121" s="7" t="str">
        <f t="shared" ref="B121:B133" si="48">LEFT(C121,12)</f>
        <v>29B2C2605011</v>
      </c>
      <c r="C121" s="10" t="s">
        <v>335</v>
      </c>
      <c r="D121" s="31">
        <v>46167</v>
      </c>
      <c r="E121" s="12" t="s">
        <v>336</v>
      </c>
      <c r="F121" s="12" t="s">
        <v>40</v>
      </c>
      <c r="G121" s="7" t="s">
        <v>40</v>
      </c>
      <c r="H121" s="7"/>
      <c r="I121" s="7" t="s">
        <v>41</v>
      </c>
      <c r="J121" s="35">
        <v>2777778</v>
      </c>
      <c r="K121" s="70">
        <v>3000000</v>
      </c>
      <c r="L121" s="37"/>
      <c r="M121" s="70">
        <f t="shared" ref="M121:M133" si="49">J121-J121*N121</f>
        <v>1944444.6</v>
      </c>
      <c r="N121" s="262">
        <v>0.3</v>
      </c>
      <c r="O121" s="37">
        <f t="shared" ref="O121:O133" si="50">+N121*J121</f>
        <v>833333.4</v>
      </c>
      <c r="P121" s="13" t="s">
        <v>130</v>
      </c>
      <c r="Q121" s="7" t="str">
        <f>VLOOKUP('Data Doanh số'!P121,'DROPDOWNDATA-NOFILL'!$A$1:$B$40,2,FALSE)</f>
        <v>BU 3</v>
      </c>
      <c r="R121" s="7" t="s">
        <v>60</v>
      </c>
      <c r="S121" s="7" t="s">
        <v>44</v>
      </c>
      <c r="T121" s="7" t="s">
        <v>45</v>
      </c>
      <c r="U121" s="7" t="s">
        <v>65</v>
      </c>
      <c r="V121" s="31">
        <v>46127</v>
      </c>
      <c r="W121" s="8">
        <f t="shared" si="43"/>
        <v>2026</v>
      </c>
      <c r="X121" s="8">
        <f t="shared" si="44"/>
        <v>5</v>
      </c>
      <c r="Y121" s="83">
        <f t="shared" si="41"/>
        <v>25</v>
      </c>
      <c r="Z121" s="83" t="s">
        <v>337</v>
      </c>
      <c r="AA121" s="83" t="str">
        <f t="shared" si="45"/>
        <v>Quý II</v>
      </c>
      <c r="AB121" s="80" t="str">
        <f t="shared" si="47"/>
        <v>MKT</v>
      </c>
      <c r="AC121" s="7"/>
    </row>
    <row r="122" spans="1:29" x14ac:dyDescent="0.2">
      <c r="A122" s="7">
        <f t="shared" ref="A122:A123" si="51">ROW(C122)-1</f>
        <v>121</v>
      </c>
      <c r="B122" s="7" t="str">
        <f t="shared" si="48"/>
        <v>29B2C2604017</v>
      </c>
      <c r="C122" s="10" t="s">
        <v>338</v>
      </c>
      <c r="D122" s="31">
        <v>46170</v>
      </c>
      <c r="E122" s="12" t="s">
        <v>339</v>
      </c>
      <c r="F122" s="12" t="s">
        <v>40</v>
      </c>
      <c r="G122" s="7" t="s">
        <v>40</v>
      </c>
      <c r="H122" s="7"/>
      <c r="I122" s="7" t="s">
        <v>51</v>
      </c>
      <c r="J122" s="35">
        <v>187555968</v>
      </c>
      <c r="K122" s="70">
        <v>202560445</v>
      </c>
      <c r="L122" s="37"/>
      <c r="M122" s="70">
        <f t="shared" si="49"/>
        <v>131289177.59999999</v>
      </c>
      <c r="N122" s="262">
        <v>0.3</v>
      </c>
      <c r="O122" s="37">
        <f t="shared" si="50"/>
        <v>56266790.399999999</v>
      </c>
      <c r="P122" s="13" t="s">
        <v>83</v>
      </c>
      <c r="Q122" s="7" t="str">
        <f>VLOOKUP('Data Doanh số'!P122,'DROPDOWNDATA-NOFILL'!$A$1:$B$40,2,FALSE)</f>
        <v>BU 1</v>
      </c>
      <c r="R122" s="7" t="s">
        <v>34</v>
      </c>
      <c r="S122" s="7" t="s">
        <v>44</v>
      </c>
      <c r="T122" s="7" t="s">
        <v>45</v>
      </c>
      <c r="U122" s="7" t="s">
        <v>65</v>
      </c>
      <c r="V122" s="31">
        <v>46125</v>
      </c>
      <c r="W122" s="8">
        <f t="shared" si="43"/>
        <v>2026</v>
      </c>
      <c r="X122" s="8">
        <f t="shared" si="44"/>
        <v>5</v>
      </c>
      <c r="Y122" s="83">
        <f t="shared" si="41"/>
        <v>28</v>
      </c>
      <c r="Z122" s="83" t="s">
        <v>337</v>
      </c>
      <c r="AA122" s="83" t="str">
        <f t="shared" si="45"/>
        <v>Quý II</v>
      </c>
      <c r="AB122" s="80" t="str">
        <f t="shared" si="47"/>
        <v>MKT</v>
      </c>
      <c r="AC122" s="7"/>
    </row>
    <row r="123" spans="1:29" x14ac:dyDescent="0.2">
      <c r="A123" s="7">
        <f t="shared" si="51"/>
        <v>122</v>
      </c>
      <c r="B123" s="7" t="str">
        <f t="shared" si="48"/>
        <v>29B2B2605012</v>
      </c>
      <c r="C123" s="10" t="s">
        <v>340</v>
      </c>
      <c r="D123" s="31">
        <v>46170</v>
      </c>
      <c r="E123" s="12" t="s">
        <v>341</v>
      </c>
      <c r="F123" s="12" t="s">
        <v>98</v>
      </c>
      <c r="G123" s="7" t="s">
        <v>98</v>
      </c>
      <c r="H123" s="7"/>
      <c r="I123" s="7" t="s">
        <v>41</v>
      </c>
      <c r="J123" s="35">
        <f>+K123/1.08</f>
        <v>18518518.518518519</v>
      </c>
      <c r="K123" s="70">
        <v>20000000</v>
      </c>
      <c r="L123" s="37"/>
      <c r="M123" s="70">
        <f t="shared" si="49"/>
        <v>14814814.814814815</v>
      </c>
      <c r="N123" s="262">
        <v>0.2</v>
      </c>
      <c r="O123" s="37">
        <f t="shared" si="50"/>
        <v>3703703.7037037038</v>
      </c>
      <c r="P123" s="13" t="s">
        <v>83</v>
      </c>
      <c r="Q123" s="7" t="str">
        <f>VLOOKUP('Data Doanh số'!P123,'DROPDOWNDATA-NOFILL'!$A$1:$B$40,2,FALSE)</f>
        <v>BU 1</v>
      </c>
      <c r="R123" s="7" t="s">
        <v>43</v>
      </c>
      <c r="S123" s="7" t="s">
        <v>35</v>
      </c>
      <c r="T123" s="7" t="s">
        <v>75</v>
      </c>
      <c r="U123" s="7" t="s">
        <v>37</v>
      </c>
      <c r="V123" s="31">
        <v>46161</v>
      </c>
      <c r="W123" s="8">
        <f t="shared" si="43"/>
        <v>2026</v>
      </c>
      <c r="X123" s="8">
        <f t="shared" si="44"/>
        <v>5</v>
      </c>
      <c r="Y123" s="83">
        <f t="shared" si="41"/>
        <v>28</v>
      </c>
      <c r="Z123" s="83" t="s">
        <v>337</v>
      </c>
      <c r="AA123" s="83" t="str">
        <f t="shared" si="45"/>
        <v>Quý II</v>
      </c>
      <c r="AB123" s="80" t="str">
        <f t="shared" si="47"/>
        <v>MKT</v>
      </c>
      <c r="AC123" s="7"/>
    </row>
    <row r="124" spans="1:29" x14ac:dyDescent="0.2">
      <c r="A124" s="7">
        <f t="shared" ref="A124:A135" si="52">ROW(C124)-1</f>
        <v>123</v>
      </c>
      <c r="B124" s="7" t="str">
        <f t="shared" si="48"/>
        <v>29B2B2605012</v>
      </c>
      <c r="C124" s="10" t="s">
        <v>342</v>
      </c>
      <c r="D124" s="31">
        <v>46170</v>
      </c>
      <c r="E124" s="12" t="s">
        <v>341</v>
      </c>
      <c r="F124" s="12" t="s">
        <v>98</v>
      </c>
      <c r="G124" s="7" t="s">
        <v>98</v>
      </c>
      <c r="H124" s="7"/>
      <c r="I124" s="7" t="s">
        <v>51</v>
      </c>
      <c r="J124" s="35">
        <f>+K124/1.08</f>
        <v>242244699.07407406</v>
      </c>
      <c r="K124" s="70">
        <v>261624275</v>
      </c>
      <c r="L124" s="37"/>
      <c r="M124" s="70">
        <f t="shared" si="49"/>
        <v>181683524.30555555</v>
      </c>
      <c r="N124" s="262">
        <v>0.25</v>
      </c>
      <c r="O124" s="37">
        <f t="shared" si="50"/>
        <v>60561174.768518515</v>
      </c>
      <c r="P124" s="13" t="s">
        <v>83</v>
      </c>
      <c r="Q124" s="7" t="str">
        <f>VLOOKUP('Data Doanh số'!P124,'DROPDOWNDATA-NOFILL'!$A$1:$B$40,2,FALSE)</f>
        <v>BU 1</v>
      </c>
      <c r="R124" s="7" t="s">
        <v>43</v>
      </c>
      <c r="S124" s="7" t="s">
        <v>35</v>
      </c>
      <c r="T124" s="7" t="s">
        <v>75</v>
      </c>
      <c r="U124" s="7" t="s">
        <v>37</v>
      </c>
      <c r="V124" s="31">
        <v>46161</v>
      </c>
      <c r="W124" s="8">
        <f t="shared" si="43"/>
        <v>2026</v>
      </c>
      <c r="X124" s="8">
        <f t="shared" si="44"/>
        <v>5</v>
      </c>
      <c r="Y124" s="83">
        <f t="shared" si="41"/>
        <v>28</v>
      </c>
      <c r="Z124" s="83" t="s">
        <v>337</v>
      </c>
      <c r="AA124" s="83" t="str">
        <f t="shared" si="45"/>
        <v>Quý II</v>
      </c>
      <c r="AB124" s="80" t="str">
        <f t="shared" si="47"/>
        <v>MKT</v>
      </c>
      <c r="AC124" s="7"/>
    </row>
    <row r="125" spans="1:29" x14ac:dyDescent="0.2">
      <c r="A125" s="7">
        <f t="shared" si="52"/>
        <v>124</v>
      </c>
      <c r="B125" s="7" t="str">
        <f t="shared" si="48"/>
        <v>29B2C2605014</v>
      </c>
      <c r="C125" s="50" t="s">
        <v>343</v>
      </c>
      <c r="D125" s="31">
        <v>46172</v>
      </c>
      <c r="E125" s="12" t="s">
        <v>344</v>
      </c>
      <c r="F125" s="12" t="s">
        <v>133</v>
      </c>
      <c r="G125" s="7" t="s">
        <v>133</v>
      </c>
      <c r="H125" s="7"/>
      <c r="I125" s="7" t="s">
        <v>41</v>
      </c>
      <c r="J125" s="35">
        <f>+K125/1.08</f>
        <v>58962962.962962963</v>
      </c>
      <c r="K125" s="70">
        <v>63680000</v>
      </c>
      <c r="L125" s="37"/>
      <c r="M125" s="70">
        <f t="shared" si="49"/>
        <v>47170370.370370373</v>
      </c>
      <c r="N125" s="262">
        <v>0.2</v>
      </c>
      <c r="O125" s="37">
        <f t="shared" si="50"/>
        <v>11792592.592592593</v>
      </c>
      <c r="P125" s="13" t="s">
        <v>345</v>
      </c>
      <c r="Q125" s="7" t="str">
        <f>VLOOKUP('Data Doanh số'!P125,'DROPDOWNDATA-NOFILL'!$A$1:$B$40,2,FALSE)</f>
        <v>BU 1</v>
      </c>
      <c r="R125" s="7" t="s">
        <v>34</v>
      </c>
      <c r="S125" s="7" t="s">
        <v>35</v>
      </c>
      <c r="T125" s="7" t="s">
        <v>45</v>
      </c>
      <c r="U125" s="7" t="s">
        <v>190</v>
      </c>
      <c r="V125" s="31">
        <v>45994</v>
      </c>
      <c r="W125" s="8">
        <f t="shared" si="43"/>
        <v>2026</v>
      </c>
      <c r="X125" s="8">
        <f t="shared" si="44"/>
        <v>5</v>
      </c>
      <c r="Y125" s="83">
        <f t="shared" si="41"/>
        <v>30</v>
      </c>
      <c r="Z125" s="83" t="s">
        <v>337</v>
      </c>
      <c r="AA125" s="83" t="str">
        <f t="shared" si="45"/>
        <v>Quý II</v>
      </c>
      <c r="AB125" s="80" t="str">
        <f t="shared" si="47"/>
        <v>Sale tự kiếm</v>
      </c>
      <c r="AC125" s="7"/>
    </row>
    <row r="126" spans="1:29" ht="30" x14ac:dyDescent="0.2">
      <c r="A126" s="7">
        <f t="shared" si="52"/>
        <v>125</v>
      </c>
      <c r="B126" s="7" t="str">
        <f t="shared" si="48"/>
        <v>29B2B2605026</v>
      </c>
      <c r="C126" s="10" t="s">
        <v>346</v>
      </c>
      <c r="D126" s="31">
        <v>46172</v>
      </c>
      <c r="E126" s="12" t="s">
        <v>347</v>
      </c>
      <c r="F126" s="12" t="s">
        <v>79</v>
      </c>
      <c r="G126" s="7" t="s">
        <v>79</v>
      </c>
      <c r="H126" s="7"/>
      <c r="I126" s="7" t="s">
        <v>51</v>
      </c>
      <c r="J126" s="35">
        <v>2083421674</v>
      </c>
      <c r="K126" s="70">
        <v>2250095408</v>
      </c>
      <c r="L126" s="37"/>
      <c r="M126" s="70">
        <f t="shared" si="49"/>
        <v>1562566255.5</v>
      </c>
      <c r="N126" s="262">
        <v>0.25</v>
      </c>
      <c r="O126" s="37">
        <f t="shared" si="50"/>
        <v>520855418.5</v>
      </c>
      <c r="P126" s="13" t="s">
        <v>312</v>
      </c>
      <c r="Q126" s="7" t="str">
        <f>VLOOKUP('Data Doanh số'!P126,'DROPDOWNDATA-NOFILL'!$A$1:$B$40,2,FALSE)</f>
        <v>BU 2</v>
      </c>
      <c r="R126" s="7" t="s">
        <v>43</v>
      </c>
      <c r="S126" s="7" t="s">
        <v>35</v>
      </c>
      <c r="T126" s="7" t="s">
        <v>313</v>
      </c>
      <c r="U126" s="7" t="s">
        <v>314</v>
      </c>
      <c r="V126" s="31">
        <v>46178</v>
      </c>
      <c r="W126" s="8">
        <f t="shared" si="43"/>
        <v>2026</v>
      </c>
      <c r="X126" s="8">
        <f t="shared" si="44"/>
        <v>5</v>
      </c>
      <c r="Y126" s="83">
        <f t="shared" si="41"/>
        <v>30</v>
      </c>
      <c r="Z126" s="83" t="s">
        <v>337</v>
      </c>
      <c r="AA126" s="83" t="str">
        <f t="shared" si="45"/>
        <v>Quý II</v>
      </c>
      <c r="AB126" s="80" t="str">
        <f t="shared" si="47"/>
        <v>Reference</v>
      </c>
      <c r="AC126" s="7"/>
    </row>
    <row r="127" spans="1:29" x14ac:dyDescent="0.2">
      <c r="A127" s="7">
        <f t="shared" si="52"/>
        <v>126</v>
      </c>
      <c r="B127" s="7" t="str">
        <f t="shared" si="48"/>
        <v>29B2C2604014</v>
      </c>
      <c r="C127" s="10" t="s">
        <v>348</v>
      </c>
      <c r="D127" s="31">
        <v>46172</v>
      </c>
      <c r="E127" s="12" t="s">
        <v>272</v>
      </c>
      <c r="F127" s="12" t="s">
        <v>40</v>
      </c>
      <c r="G127" s="12" t="s">
        <v>40</v>
      </c>
      <c r="H127" s="7"/>
      <c r="I127" s="7" t="s">
        <v>51</v>
      </c>
      <c r="J127" s="35">
        <v>763055556</v>
      </c>
      <c r="K127" s="70">
        <v>824100000</v>
      </c>
      <c r="L127" s="37"/>
      <c r="M127" s="70">
        <f t="shared" si="49"/>
        <v>572291667</v>
      </c>
      <c r="N127" s="262">
        <v>0.25</v>
      </c>
      <c r="O127" s="37">
        <f t="shared" si="50"/>
        <v>190763889</v>
      </c>
      <c r="P127" s="13" t="s">
        <v>349</v>
      </c>
      <c r="Q127" s="7" t="str">
        <f>VLOOKUP('Data Doanh số'!P127,'DROPDOWNDATA-NOFILL'!$A$1:$B$40,2,FALSE)</f>
        <v>BU 1</v>
      </c>
      <c r="R127" s="7" t="s">
        <v>34</v>
      </c>
      <c r="S127" s="7" t="s">
        <v>44</v>
      </c>
      <c r="T127" s="7" t="s">
        <v>45</v>
      </c>
      <c r="U127" s="7" t="s">
        <v>65</v>
      </c>
      <c r="V127" s="31"/>
      <c r="W127" s="8">
        <f t="shared" si="43"/>
        <v>2026</v>
      </c>
      <c r="X127" s="8">
        <f t="shared" si="44"/>
        <v>5</v>
      </c>
      <c r="Y127" s="83">
        <f t="shared" si="41"/>
        <v>30</v>
      </c>
      <c r="Z127" s="83" t="s">
        <v>337</v>
      </c>
      <c r="AA127" s="83" t="str">
        <f t="shared" si="45"/>
        <v>Quý II</v>
      </c>
      <c r="AB127" s="80" t="str">
        <f t="shared" si="47"/>
        <v>MKT</v>
      </c>
      <c r="AC127" s="7"/>
    </row>
    <row r="128" spans="1:29" x14ac:dyDescent="0.2">
      <c r="A128" s="7">
        <f t="shared" si="52"/>
        <v>127</v>
      </c>
      <c r="B128" s="7" t="str">
        <f t="shared" si="48"/>
        <v>29B2C2606001</v>
      </c>
      <c r="C128" s="10" t="s">
        <v>350</v>
      </c>
      <c r="D128" s="31">
        <v>46172</v>
      </c>
      <c r="E128" s="12" t="s">
        <v>351</v>
      </c>
      <c r="F128" s="12" t="s">
        <v>31</v>
      </c>
      <c r="G128" s="12" t="s">
        <v>31</v>
      </c>
      <c r="H128" s="7"/>
      <c r="I128" s="7" t="s">
        <v>41</v>
      </c>
      <c r="J128" s="35">
        <f>+K128/1.08</f>
        <v>29629629.629629627</v>
      </c>
      <c r="K128" s="70">
        <v>32000000</v>
      </c>
      <c r="L128" s="37"/>
      <c r="M128" s="70">
        <f t="shared" si="49"/>
        <v>23703703.703703701</v>
      </c>
      <c r="N128" s="262">
        <v>0.2</v>
      </c>
      <c r="O128" s="37">
        <f t="shared" si="50"/>
        <v>5925925.9259259254</v>
      </c>
      <c r="P128" s="13" t="s">
        <v>352</v>
      </c>
      <c r="Q128" s="7" t="str">
        <f>VLOOKUP('Data Doanh số'!P128,'DROPDOWNDATA-NOFILL'!$A$1:$B$40,2,FALSE)</f>
        <v>BU 1</v>
      </c>
      <c r="R128" s="7" t="s">
        <v>60</v>
      </c>
      <c r="S128" s="7" t="s">
        <v>44</v>
      </c>
      <c r="T128" s="7" t="s">
        <v>353</v>
      </c>
      <c r="U128" s="7" t="s">
        <v>46</v>
      </c>
      <c r="V128" s="31">
        <v>46176</v>
      </c>
      <c r="W128" s="8">
        <f t="shared" si="43"/>
        <v>2026</v>
      </c>
      <c r="X128" s="8">
        <f t="shared" si="44"/>
        <v>5</v>
      </c>
      <c r="Y128" s="83">
        <f t="shared" si="41"/>
        <v>30</v>
      </c>
      <c r="Z128" s="83" t="s">
        <v>337</v>
      </c>
      <c r="AA128" s="83" t="str">
        <f t="shared" si="45"/>
        <v>Quý II</v>
      </c>
      <c r="AB128" s="80" t="str">
        <f t="shared" si="47"/>
        <v>Customer</v>
      </c>
      <c r="AC128" s="7"/>
    </row>
    <row r="129" spans="1:29" x14ac:dyDescent="0.2">
      <c r="A129" s="7">
        <f t="shared" si="52"/>
        <v>128</v>
      </c>
      <c r="B129" s="7" t="str">
        <f t="shared" si="48"/>
        <v>29B2C2605013</v>
      </c>
      <c r="C129" s="10" t="s">
        <v>354</v>
      </c>
      <c r="D129" s="31">
        <v>46172</v>
      </c>
      <c r="E129" s="12" t="s">
        <v>355</v>
      </c>
      <c r="F129" s="12" t="s">
        <v>40</v>
      </c>
      <c r="G129" s="7" t="s">
        <v>40</v>
      </c>
      <c r="H129" s="7"/>
      <c r="I129" s="7" t="s">
        <v>41</v>
      </c>
      <c r="J129" s="35">
        <v>3240741</v>
      </c>
      <c r="K129" s="70">
        <v>3500000</v>
      </c>
      <c r="L129" s="37"/>
      <c r="M129" s="70">
        <f t="shared" si="49"/>
        <v>2268518.7000000002</v>
      </c>
      <c r="N129" s="262">
        <v>0.3</v>
      </c>
      <c r="O129" s="37">
        <f t="shared" si="50"/>
        <v>972222.29999999993</v>
      </c>
      <c r="P129" s="13" t="s">
        <v>130</v>
      </c>
      <c r="Q129" s="7" t="str">
        <f>VLOOKUP('Data Doanh số'!P129,'DROPDOWNDATA-NOFILL'!$A$1:$B$40,2,FALSE)</f>
        <v>BU 3</v>
      </c>
      <c r="R129" s="7" t="s">
        <v>34</v>
      </c>
      <c r="S129" s="7" t="s">
        <v>44</v>
      </c>
      <c r="T129" s="7" t="s">
        <v>282</v>
      </c>
      <c r="U129" s="7" t="s">
        <v>356</v>
      </c>
      <c r="V129" s="31">
        <v>46163</v>
      </c>
      <c r="W129" s="8">
        <f t="shared" si="43"/>
        <v>2026</v>
      </c>
      <c r="X129" s="8">
        <f t="shared" si="44"/>
        <v>5</v>
      </c>
      <c r="Y129" s="83">
        <f t="shared" si="41"/>
        <v>30</v>
      </c>
      <c r="Z129" s="83" t="s">
        <v>337</v>
      </c>
      <c r="AA129" s="83" t="str">
        <f t="shared" si="45"/>
        <v>Quý II</v>
      </c>
      <c r="AB129" s="80" t="str">
        <f t="shared" si="47"/>
        <v>MKT</v>
      </c>
      <c r="AC129" s="7"/>
    </row>
    <row r="130" spans="1:29" x14ac:dyDescent="0.2">
      <c r="A130" s="7">
        <f t="shared" si="52"/>
        <v>129</v>
      </c>
      <c r="B130" s="7" t="str">
        <f t="shared" si="48"/>
        <v>51B2B2606003</v>
      </c>
      <c r="C130" s="10" t="s">
        <v>357</v>
      </c>
      <c r="D130" s="31">
        <v>46172</v>
      </c>
      <c r="E130" s="12" t="s">
        <v>228</v>
      </c>
      <c r="F130" s="12" t="s">
        <v>31</v>
      </c>
      <c r="G130" s="7" t="s">
        <v>31</v>
      </c>
      <c r="H130" s="7"/>
      <c r="I130" s="7" t="s">
        <v>51</v>
      </c>
      <c r="J130" s="35">
        <v>601965350.5</v>
      </c>
      <c r="K130" s="70">
        <v>650122579</v>
      </c>
      <c r="L130" s="37"/>
      <c r="M130" s="70">
        <f t="shared" si="49"/>
        <v>493611587.41000003</v>
      </c>
      <c r="N130" s="262">
        <v>0.18</v>
      </c>
      <c r="O130" s="37">
        <f t="shared" si="50"/>
        <v>108353763.08999999</v>
      </c>
      <c r="P130" s="13" t="s">
        <v>229</v>
      </c>
      <c r="Q130" s="7" t="str">
        <f>VLOOKUP('Data Doanh số'!P130,'DROPDOWNDATA-NOFILL'!$A$1:$B$40,2,FALSE)</f>
        <v>BU HCM</v>
      </c>
      <c r="R130" s="7" t="s">
        <v>60</v>
      </c>
      <c r="S130" s="7" t="s">
        <v>35</v>
      </c>
      <c r="T130" s="7" t="s">
        <v>99</v>
      </c>
      <c r="U130" s="7" t="s">
        <v>358</v>
      </c>
      <c r="V130" s="31"/>
      <c r="W130" s="8">
        <f t="shared" si="43"/>
        <v>2026</v>
      </c>
      <c r="X130" s="8">
        <f t="shared" si="44"/>
        <v>5</v>
      </c>
      <c r="Y130" s="83">
        <f t="shared" ref="Y130:Y136" si="53">DAY(D130)</f>
        <v>30</v>
      </c>
      <c r="Z130" s="83" t="s">
        <v>337</v>
      </c>
      <c r="AA130" s="83" t="str">
        <f t="shared" si="45"/>
        <v>Quý II</v>
      </c>
      <c r="AB130" s="80" t="str">
        <f t="shared" si="47"/>
        <v>Customer</v>
      </c>
      <c r="AC130" s="7"/>
    </row>
    <row r="131" spans="1:29" x14ac:dyDescent="0.2">
      <c r="A131" s="7">
        <f t="shared" si="52"/>
        <v>130</v>
      </c>
      <c r="B131" s="7" t="str">
        <f t="shared" si="48"/>
        <v>29B2C2604012</v>
      </c>
      <c r="C131" s="10" t="s">
        <v>359</v>
      </c>
      <c r="D131" s="31">
        <v>46172</v>
      </c>
      <c r="E131" s="347" t="s">
        <v>268</v>
      </c>
      <c r="F131" s="12" t="s">
        <v>40</v>
      </c>
      <c r="G131" s="7" t="s">
        <v>40</v>
      </c>
      <c r="H131" s="7"/>
      <c r="I131" s="7" t="s">
        <v>51</v>
      </c>
      <c r="J131" s="35">
        <v>176660185</v>
      </c>
      <c r="K131" s="70">
        <v>190793000</v>
      </c>
      <c r="L131" s="37"/>
      <c r="M131" s="70">
        <f t="shared" si="49"/>
        <v>134261740.59999999</v>
      </c>
      <c r="N131" s="262">
        <v>0.24</v>
      </c>
      <c r="O131" s="37">
        <f t="shared" si="50"/>
        <v>42398444.399999999</v>
      </c>
      <c r="P131" s="13" t="s">
        <v>349</v>
      </c>
      <c r="Q131" s="7" t="str">
        <f>VLOOKUP('Data Doanh số'!P131,'DROPDOWNDATA-NOFILL'!$A$1:$B$40,2,FALSE)</f>
        <v>BU 1</v>
      </c>
      <c r="R131" s="7" t="s">
        <v>43</v>
      </c>
      <c r="S131" s="7" t="s">
        <v>44</v>
      </c>
      <c r="T131" s="7" t="s">
        <v>45</v>
      </c>
      <c r="U131" s="7" t="s">
        <v>65</v>
      </c>
      <c r="V131" s="31">
        <v>46105</v>
      </c>
      <c r="W131" s="8">
        <f t="shared" si="43"/>
        <v>2026</v>
      </c>
      <c r="X131" s="8">
        <f t="shared" si="44"/>
        <v>5</v>
      </c>
      <c r="Y131" s="83">
        <f t="shared" si="53"/>
        <v>30</v>
      </c>
      <c r="Z131" s="83" t="s">
        <v>337</v>
      </c>
      <c r="AA131" s="83" t="str">
        <f t="shared" si="45"/>
        <v>Quý II</v>
      </c>
      <c r="AB131" s="80" t="str">
        <f t="shared" si="47"/>
        <v>MKT</v>
      </c>
      <c r="AC131" s="7"/>
    </row>
    <row r="132" spans="1:29" x14ac:dyDescent="0.2">
      <c r="A132" s="7">
        <f t="shared" si="52"/>
        <v>131</v>
      </c>
      <c r="B132" s="7" t="str">
        <f t="shared" si="48"/>
        <v>29B2C2606003</v>
      </c>
      <c r="C132" s="10" t="s">
        <v>360</v>
      </c>
      <c r="D132" s="31">
        <v>46172</v>
      </c>
      <c r="E132" s="12" t="s">
        <v>361</v>
      </c>
      <c r="F132" s="12" t="s">
        <v>40</v>
      </c>
      <c r="G132" s="7" t="s">
        <v>40</v>
      </c>
      <c r="H132" s="7"/>
      <c r="I132" s="7" t="s">
        <v>41</v>
      </c>
      <c r="J132" s="35">
        <f>+K132/1.08</f>
        <v>2777777.7777777775</v>
      </c>
      <c r="K132" s="70">
        <v>3000000</v>
      </c>
      <c r="L132" s="37"/>
      <c r="M132" s="70">
        <f t="shared" si="49"/>
        <v>2222222.222222222</v>
      </c>
      <c r="N132" s="262">
        <v>0.2</v>
      </c>
      <c r="O132" s="37">
        <f t="shared" si="50"/>
        <v>555555.5555555555</v>
      </c>
      <c r="P132" s="13" t="s">
        <v>83</v>
      </c>
      <c r="Q132" s="7" t="str">
        <f>VLOOKUP('Data Doanh số'!P132,'DROPDOWNDATA-NOFILL'!$A$1:$B$40,2,FALSE)</f>
        <v>BU 1</v>
      </c>
      <c r="R132" s="7" t="s">
        <v>34</v>
      </c>
      <c r="S132" s="7" t="s">
        <v>44</v>
      </c>
      <c r="T132" s="7" t="s">
        <v>45</v>
      </c>
      <c r="U132" s="7" t="s">
        <v>46</v>
      </c>
      <c r="V132" s="31">
        <v>46164</v>
      </c>
      <c r="W132" s="8">
        <f t="shared" si="43"/>
        <v>2026</v>
      </c>
      <c r="X132" s="8">
        <f t="shared" si="44"/>
        <v>5</v>
      </c>
      <c r="Y132" s="83">
        <f t="shared" si="53"/>
        <v>30</v>
      </c>
      <c r="Z132" s="83" t="s">
        <v>337</v>
      </c>
      <c r="AA132" s="83" t="str">
        <f t="shared" si="45"/>
        <v>Quý II</v>
      </c>
      <c r="AB132" s="80" t="str">
        <f t="shared" si="47"/>
        <v>MKT</v>
      </c>
      <c r="AC132" s="7"/>
    </row>
    <row r="133" spans="1:29" x14ac:dyDescent="0.2">
      <c r="A133" s="7">
        <f t="shared" si="52"/>
        <v>132</v>
      </c>
      <c r="B133" s="7" t="str">
        <f t="shared" si="48"/>
        <v>29B2C2606003</v>
      </c>
      <c r="C133" s="10" t="s">
        <v>362</v>
      </c>
      <c r="D133" s="31">
        <v>46172</v>
      </c>
      <c r="E133" s="12" t="s">
        <v>361</v>
      </c>
      <c r="F133" s="12" t="s">
        <v>40</v>
      </c>
      <c r="G133" s="7" t="s">
        <v>40</v>
      </c>
      <c r="H133" s="7"/>
      <c r="I133" s="7" t="s">
        <v>51</v>
      </c>
      <c r="J133" s="35">
        <f>+K133/1.08</f>
        <v>62432119.44444444</v>
      </c>
      <c r="K133" s="70">
        <v>67426689</v>
      </c>
      <c r="L133" s="37"/>
      <c r="M133" s="70">
        <f t="shared" si="49"/>
        <v>43078162.416666664</v>
      </c>
      <c r="N133" s="262">
        <v>0.31</v>
      </c>
      <c r="O133" s="37">
        <f t="shared" si="50"/>
        <v>19353957.027777776</v>
      </c>
      <c r="P133" s="13" t="s">
        <v>83</v>
      </c>
      <c r="Q133" s="7" t="str">
        <f>VLOOKUP('Data Doanh số'!P133,'DROPDOWNDATA-NOFILL'!$A$1:$B$40,2,FALSE)</f>
        <v>BU 1</v>
      </c>
      <c r="R133" s="7" t="s">
        <v>34</v>
      </c>
      <c r="S133" s="7" t="s">
        <v>44</v>
      </c>
      <c r="T133" s="7" t="s">
        <v>45</v>
      </c>
      <c r="U133" s="7" t="s">
        <v>46</v>
      </c>
      <c r="V133" s="31">
        <v>46164</v>
      </c>
      <c r="W133" s="8">
        <f t="shared" si="43"/>
        <v>2026</v>
      </c>
      <c r="X133" s="8">
        <f t="shared" si="44"/>
        <v>5</v>
      </c>
      <c r="Y133" s="83">
        <f t="shared" si="53"/>
        <v>30</v>
      </c>
      <c r="Z133" s="83" t="s">
        <v>337</v>
      </c>
      <c r="AA133" s="83" t="str">
        <f t="shared" si="45"/>
        <v>Quý II</v>
      </c>
      <c r="AB133" s="80" t="str">
        <f t="shared" si="47"/>
        <v>MKT</v>
      </c>
      <c r="AC133" s="7"/>
    </row>
    <row r="134" spans="1:29" x14ac:dyDescent="0.2">
      <c r="A134" s="7">
        <f t="shared" si="52"/>
        <v>133</v>
      </c>
      <c r="B134" s="7"/>
      <c r="C134" s="10" t="s">
        <v>363</v>
      </c>
      <c r="D134" s="31">
        <v>46173</v>
      </c>
      <c r="E134" s="7" t="s">
        <v>363</v>
      </c>
      <c r="F134" s="12" t="s">
        <v>117</v>
      </c>
      <c r="G134" s="7" t="s">
        <v>117</v>
      </c>
      <c r="H134" s="7"/>
      <c r="I134" s="7" t="s">
        <v>74</v>
      </c>
      <c r="J134" s="35">
        <v>1852629</v>
      </c>
      <c r="K134" s="70">
        <f>+J134*1.08</f>
        <v>2000839.32</v>
      </c>
      <c r="L134" s="37"/>
      <c r="M134" s="70"/>
      <c r="N134" s="37"/>
      <c r="O134" s="37"/>
      <c r="P134" s="13" t="s">
        <v>364</v>
      </c>
      <c r="Q134" s="7" t="str">
        <f>VLOOKUP('Data Doanh số'!P134,'DROPDOWNDATA-NOFILL'!$A$1:$B$40,2,FALSE)</f>
        <v>TMĐT</v>
      </c>
      <c r="R134" s="7" t="s">
        <v>34</v>
      </c>
      <c r="S134" s="12" t="s">
        <v>44</v>
      </c>
      <c r="T134" s="7" t="s">
        <v>45</v>
      </c>
      <c r="U134" s="12" t="s">
        <v>65</v>
      </c>
      <c r="V134" s="31"/>
      <c r="W134" s="8">
        <f t="shared" si="43"/>
        <v>2026</v>
      </c>
      <c r="X134" s="8">
        <f t="shared" si="44"/>
        <v>5</v>
      </c>
      <c r="Y134" s="83">
        <f t="shared" si="53"/>
        <v>31</v>
      </c>
      <c r="Z134" s="83" t="s">
        <v>337</v>
      </c>
      <c r="AA134" s="83" t="str">
        <f t="shared" si="45"/>
        <v>Quý II</v>
      </c>
      <c r="AB134" s="80" t="str">
        <f t="shared" si="47"/>
        <v>TMĐT</v>
      </c>
      <c r="AC134" s="7"/>
    </row>
    <row r="135" spans="1:29" x14ac:dyDescent="0.2">
      <c r="A135" s="7">
        <f t="shared" si="52"/>
        <v>134</v>
      </c>
      <c r="B135" s="7" t="str">
        <f>LEFT(C135,12)</f>
        <v>29B2B2606001</v>
      </c>
      <c r="C135" s="10" t="s">
        <v>365</v>
      </c>
      <c r="D135" s="31">
        <v>46177</v>
      </c>
      <c r="E135" s="12" t="s">
        <v>366</v>
      </c>
      <c r="F135" s="12" t="s">
        <v>165</v>
      </c>
      <c r="G135" s="7" t="s">
        <v>165</v>
      </c>
      <c r="H135" s="7"/>
      <c r="I135" s="7" t="s">
        <v>41</v>
      </c>
      <c r="J135" s="35">
        <v>4666667</v>
      </c>
      <c r="K135" s="70">
        <v>5040000</v>
      </c>
      <c r="L135" s="37"/>
      <c r="M135" s="70">
        <f>J135-J135*N135</f>
        <v>3640000.26</v>
      </c>
      <c r="N135" s="336">
        <v>0.22</v>
      </c>
      <c r="O135" s="37">
        <f>+N135*J135</f>
        <v>1026666.74</v>
      </c>
      <c r="P135" s="13" t="s">
        <v>63</v>
      </c>
      <c r="Q135" s="7" t="str">
        <f>VLOOKUP('Data Doanh số'!P135,'DROPDOWNDATA-NOFILL'!$A$1:$B$40,2,FALSE)</f>
        <v>BU 3</v>
      </c>
      <c r="R135" s="7" t="s">
        <v>34</v>
      </c>
      <c r="S135" s="7" t="s">
        <v>44</v>
      </c>
      <c r="T135" s="7" t="s">
        <v>45</v>
      </c>
      <c r="U135" s="7" t="s">
        <v>46</v>
      </c>
      <c r="V135" s="31">
        <v>46161</v>
      </c>
      <c r="W135" s="8">
        <f t="shared" si="43"/>
        <v>2026</v>
      </c>
      <c r="X135" s="8">
        <f t="shared" si="44"/>
        <v>6</v>
      </c>
      <c r="Y135" s="83">
        <f t="shared" si="53"/>
        <v>4</v>
      </c>
      <c r="Z135" s="83" t="str">
        <f t="shared" ref="Z135:Z148" si="54">"W"&amp;WEEKNUM(D135)-WEEKNUM(EOMONTH(D135,-1)+1)+1</f>
        <v>W1</v>
      </c>
      <c r="AA135" s="83" t="str">
        <f t="shared" si="45"/>
        <v>Quý II</v>
      </c>
      <c r="AB135" s="80" t="str">
        <f t="shared" si="47"/>
        <v>MKT</v>
      </c>
      <c r="AC135" s="7"/>
    </row>
    <row r="136" spans="1:29" x14ac:dyDescent="0.2">
      <c r="A136" s="7">
        <f t="shared" ref="A136:A146" si="55">ROW(C136)-1</f>
        <v>135</v>
      </c>
      <c r="B136" s="7" t="str">
        <f>LEFT(C136,12)</f>
        <v>29B2B2606002</v>
      </c>
      <c r="C136" s="10" t="s">
        <v>367</v>
      </c>
      <c r="D136" s="31">
        <v>46177</v>
      </c>
      <c r="E136" s="12" t="s">
        <v>368</v>
      </c>
      <c r="F136" s="12" t="s">
        <v>91</v>
      </c>
      <c r="G136" s="7" t="s">
        <v>91</v>
      </c>
      <c r="H136" s="7"/>
      <c r="I136" s="7" t="s">
        <v>41</v>
      </c>
      <c r="J136" s="35">
        <v>4333333</v>
      </c>
      <c r="K136" s="70">
        <v>4680000</v>
      </c>
      <c r="L136" s="37"/>
      <c r="M136" s="70">
        <f>J136-J136*N136</f>
        <v>3379999.74</v>
      </c>
      <c r="N136" s="262">
        <v>0.22</v>
      </c>
      <c r="O136" s="37">
        <f>+N136*J136</f>
        <v>953333.26</v>
      </c>
      <c r="P136" s="13" t="s">
        <v>63</v>
      </c>
      <c r="Q136" s="7" t="str">
        <f>VLOOKUP('Data Doanh số'!P136,'DROPDOWNDATA-NOFILL'!$A$1:$B$40,2,FALSE)</f>
        <v>BU 3</v>
      </c>
      <c r="R136" s="7" t="s">
        <v>34</v>
      </c>
      <c r="S136" s="7" t="s">
        <v>44</v>
      </c>
      <c r="T136" s="7" t="s">
        <v>45</v>
      </c>
      <c r="U136" s="7" t="s">
        <v>356</v>
      </c>
      <c r="V136" s="31">
        <v>46171</v>
      </c>
      <c r="W136" s="8">
        <f t="shared" si="43"/>
        <v>2026</v>
      </c>
      <c r="X136" s="8">
        <f t="shared" si="44"/>
        <v>6</v>
      </c>
      <c r="Y136" s="83">
        <f t="shared" si="53"/>
        <v>4</v>
      </c>
      <c r="Z136" s="83" t="str">
        <f t="shared" si="54"/>
        <v>W1</v>
      </c>
      <c r="AA136" s="83" t="str">
        <f t="shared" si="45"/>
        <v>Quý II</v>
      </c>
      <c r="AB136" s="80" t="str">
        <f t="shared" si="47"/>
        <v>MKT</v>
      </c>
      <c r="AC136" s="7"/>
    </row>
    <row r="137" spans="1:29" x14ac:dyDescent="0.2">
      <c r="A137" s="7">
        <f t="shared" si="55"/>
        <v>136</v>
      </c>
      <c r="B137" s="7" t="str">
        <f>LEFT(C137,12)</f>
        <v>29B2C2606007</v>
      </c>
      <c r="C137" s="10" t="s">
        <v>369</v>
      </c>
      <c r="D137" s="31">
        <v>46184</v>
      </c>
      <c r="E137" s="12" t="s">
        <v>370</v>
      </c>
      <c r="F137" s="12" t="s">
        <v>98</v>
      </c>
      <c r="G137" s="7" t="s">
        <v>98</v>
      </c>
      <c r="H137" s="7"/>
      <c r="I137" s="7" t="s">
        <v>41</v>
      </c>
      <c r="J137" s="35">
        <v>27546296</v>
      </c>
      <c r="K137" s="70">
        <v>29750000</v>
      </c>
      <c r="L137" s="37"/>
      <c r="M137" s="70">
        <f t="shared" ref="M137:M138" si="56">J137-J137*N137</f>
        <v>21486110.879999999</v>
      </c>
      <c r="N137" s="262">
        <v>0.22</v>
      </c>
      <c r="O137" s="37">
        <f t="shared" ref="O137:O138" si="57">+N137*J137</f>
        <v>6060185.1200000001</v>
      </c>
      <c r="P137" s="13" t="s">
        <v>130</v>
      </c>
      <c r="Q137" s="7" t="str">
        <f>VLOOKUP('Data Doanh số'!P137,'DROPDOWNDATA-NOFILL'!$A$1:$B$40,2,FALSE)</f>
        <v>BU 3</v>
      </c>
      <c r="R137" s="7" t="s">
        <v>43</v>
      </c>
      <c r="S137" s="7" t="s">
        <v>44</v>
      </c>
      <c r="T137" s="7" t="s">
        <v>45</v>
      </c>
      <c r="U137" s="7" t="s">
        <v>65</v>
      </c>
      <c r="V137" s="31">
        <v>46174</v>
      </c>
      <c r="W137" s="8">
        <f t="shared" ref="W137:W138" si="58">YEAR(D137)</f>
        <v>2026</v>
      </c>
      <c r="X137" s="8">
        <f t="shared" ref="X137:X138" si="59">MONTH(D137)</f>
        <v>6</v>
      </c>
      <c r="Y137" s="83">
        <f t="shared" ref="Y137:Y138" si="60">DAY(D137)</f>
        <v>11</v>
      </c>
      <c r="Z137" s="83" t="str">
        <f t="shared" si="54"/>
        <v>W2</v>
      </c>
      <c r="AA137" s="83" t="str">
        <f t="shared" ref="AA137:AA138" si="61">"Quý "&amp;ROMAN(ROUNDUP(X137/3,0))</f>
        <v>Quý II</v>
      </c>
      <c r="AB137" s="80" t="str">
        <f t="shared" ref="AB137:AB138" si="62">IF(OR(G137="Facebook",G137="Hotline",G137="Zalo",G137="Website",G137="Walk in"),"MKT",G137)</f>
        <v>MKT</v>
      </c>
      <c r="AC137" s="7"/>
    </row>
    <row r="138" spans="1:29" x14ac:dyDescent="0.2">
      <c r="A138" s="7">
        <f t="shared" si="55"/>
        <v>137</v>
      </c>
      <c r="B138" s="7" t="str">
        <f>LEFT(C138,12)</f>
        <v>51B2B2606005</v>
      </c>
      <c r="C138" s="10" t="s">
        <v>371</v>
      </c>
      <c r="D138" s="31">
        <v>46176</v>
      </c>
      <c r="E138" s="12" t="s">
        <v>305</v>
      </c>
      <c r="F138" s="12" t="s">
        <v>102</v>
      </c>
      <c r="G138" s="7" t="s">
        <v>31</v>
      </c>
      <c r="H138" s="7"/>
      <c r="I138" s="7" t="s">
        <v>51</v>
      </c>
      <c r="J138" s="35">
        <v>26000000</v>
      </c>
      <c r="K138" s="70">
        <v>28080000</v>
      </c>
      <c r="L138" s="37"/>
      <c r="M138" s="70">
        <f t="shared" si="56"/>
        <v>20020000</v>
      </c>
      <c r="N138" s="262">
        <v>0.23</v>
      </c>
      <c r="O138" s="37">
        <f t="shared" si="57"/>
        <v>5980000</v>
      </c>
      <c r="P138" s="13" t="s">
        <v>229</v>
      </c>
      <c r="Q138" s="7" t="str">
        <f>VLOOKUP('Data Doanh số'!P138,'DROPDOWNDATA-NOFILL'!$A$1:$B$40,2,FALSE)</f>
        <v>BU HCM</v>
      </c>
      <c r="R138" s="7" t="s">
        <v>60</v>
      </c>
      <c r="S138" s="7" t="s">
        <v>35</v>
      </c>
      <c r="T138" s="7" t="s">
        <v>99</v>
      </c>
      <c r="U138" s="7" t="s">
        <v>219</v>
      </c>
      <c r="V138" s="31">
        <v>46148</v>
      </c>
      <c r="W138" s="8">
        <f t="shared" si="58"/>
        <v>2026</v>
      </c>
      <c r="X138" s="8">
        <f t="shared" si="59"/>
        <v>6</v>
      </c>
      <c r="Y138" s="83">
        <f t="shared" si="60"/>
        <v>3</v>
      </c>
      <c r="Z138" s="83" t="str">
        <f t="shared" si="54"/>
        <v>W1</v>
      </c>
      <c r="AA138" s="83" t="str">
        <f t="shared" si="61"/>
        <v>Quý II</v>
      </c>
      <c r="AB138" s="80" t="str">
        <f t="shared" si="62"/>
        <v>Customer</v>
      </c>
      <c r="AC138" s="7"/>
    </row>
    <row r="139" spans="1:29" x14ac:dyDescent="0.2">
      <c r="A139" s="7">
        <f t="shared" si="55"/>
        <v>138</v>
      </c>
      <c r="B139" s="7"/>
      <c r="C139" s="10" t="s">
        <v>372</v>
      </c>
      <c r="D139" s="31">
        <v>46186</v>
      </c>
      <c r="E139" s="12" t="s">
        <v>372</v>
      </c>
      <c r="F139" s="12" t="s">
        <v>117</v>
      </c>
      <c r="G139" s="7" t="s">
        <v>117</v>
      </c>
      <c r="H139" s="7"/>
      <c r="I139" s="7" t="s">
        <v>74</v>
      </c>
      <c r="J139" s="35">
        <v>2541966</v>
      </c>
      <c r="K139" s="70">
        <f>+J139*1.08</f>
        <v>2745323.2800000003</v>
      </c>
      <c r="L139" s="37"/>
      <c r="M139" s="37"/>
      <c r="N139" s="37"/>
      <c r="O139" s="37"/>
      <c r="P139" s="13" t="s">
        <v>364</v>
      </c>
      <c r="Q139" s="7" t="str">
        <f>VLOOKUP('Data Doanh số'!P139,'DROPDOWNDATA-NOFILL'!$A$1:$B$40,2,FALSE)</f>
        <v>TMĐT</v>
      </c>
      <c r="R139" s="7" t="s">
        <v>34</v>
      </c>
      <c r="S139" s="12" t="s">
        <v>44</v>
      </c>
      <c r="T139" s="7" t="s">
        <v>45</v>
      </c>
      <c r="U139" s="12" t="s">
        <v>65</v>
      </c>
      <c r="V139" s="31"/>
      <c r="W139" s="8">
        <f t="shared" ref="W139" si="63">YEAR(D139)</f>
        <v>2026</v>
      </c>
      <c r="X139" s="8">
        <f t="shared" ref="X139" si="64">MONTH(D139)</f>
        <v>6</v>
      </c>
      <c r="Y139" s="83">
        <f t="shared" ref="Y139" si="65">DAY(D139)</f>
        <v>13</v>
      </c>
      <c r="Z139" s="83" t="str">
        <f t="shared" si="54"/>
        <v>W2</v>
      </c>
      <c r="AA139" s="83" t="str">
        <f t="shared" ref="AA139" si="66">"Quý "&amp;ROMAN(ROUNDUP(X139/3,0))</f>
        <v>Quý II</v>
      </c>
      <c r="AB139" s="80" t="str">
        <f t="shared" ref="AB139" si="67">IF(OR(G139="Facebook",G139="Hotline",G139="Zalo",G139="Website",G139="Walk in"),"MKT",G139)</f>
        <v>TMĐT</v>
      </c>
      <c r="AC139" s="7"/>
    </row>
    <row r="140" spans="1:29" x14ac:dyDescent="0.2">
      <c r="A140" s="7">
        <f t="shared" si="55"/>
        <v>139</v>
      </c>
      <c r="B140" s="7" t="str">
        <f>LEFT(C140,12)</f>
        <v>29B2C2605006</v>
      </c>
      <c r="C140" s="10" t="s">
        <v>373</v>
      </c>
      <c r="D140" s="31">
        <v>46189</v>
      </c>
      <c r="E140" s="12" t="s">
        <v>374</v>
      </c>
      <c r="F140" s="12" t="s">
        <v>317</v>
      </c>
      <c r="G140" s="7" t="s">
        <v>317</v>
      </c>
      <c r="H140" s="7"/>
      <c r="I140" s="183" t="s">
        <v>51</v>
      </c>
      <c r="J140" s="35">
        <f>+K140/1.08</f>
        <v>530031249.99999994</v>
      </c>
      <c r="K140" s="348">
        <v>572433750</v>
      </c>
      <c r="L140" s="37"/>
      <c r="M140" s="70">
        <f>J140-J140*N140</f>
        <v>477028124.99999994</v>
      </c>
      <c r="N140" s="262">
        <v>0.1</v>
      </c>
      <c r="O140" s="37">
        <f>+N140*J140</f>
        <v>53003125</v>
      </c>
      <c r="P140" s="13" t="s">
        <v>63</v>
      </c>
      <c r="Q140" s="7" t="str">
        <f>VLOOKUP('Data Doanh số'!P140,'DROPDOWNDATA-NOFILL'!$A$1:$B$40,2,FALSE)</f>
        <v>BU 3</v>
      </c>
      <c r="R140" s="7" t="s">
        <v>259</v>
      </c>
      <c r="S140" s="7" t="s">
        <v>44</v>
      </c>
      <c r="T140" s="7" t="s">
        <v>45</v>
      </c>
      <c r="U140" s="31" t="s">
        <v>46</v>
      </c>
      <c r="V140" s="31">
        <v>46153</v>
      </c>
      <c r="W140" s="8">
        <f>YEAR(D140)</f>
        <v>2026</v>
      </c>
      <c r="X140" s="8">
        <f>MONTH(D140)</f>
        <v>6</v>
      </c>
      <c r="Y140" s="83">
        <f>DAY(D140)</f>
        <v>16</v>
      </c>
      <c r="Z140" s="83" t="str">
        <f t="shared" si="54"/>
        <v>W3</v>
      </c>
      <c r="AA140" s="83" t="str">
        <f>"Quý "&amp;ROMAN(ROUNDUP(X140/3,0))</f>
        <v>Quý II</v>
      </c>
      <c r="AB140" s="80" t="str">
        <f>IF(OR(G140="Facebook",G140="Hotline",G140="Zalo",G140="Website",G140="Walk in"),"MKT",G140)</f>
        <v>Holding</v>
      </c>
      <c r="AC140" s="7"/>
    </row>
    <row r="141" spans="1:29" x14ac:dyDescent="0.2">
      <c r="A141" s="7">
        <f t="shared" si="55"/>
        <v>140</v>
      </c>
      <c r="B141" s="7" t="s">
        <v>375</v>
      </c>
      <c r="C141" s="10" t="s">
        <v>375</v>
      </c>
      <c r="D141" s="31">
        <v>46192</v>
      </c>
      <c r="E141" s="12" t="s">
        <v>376</v>
      </c>
      <c r="F141" s="12" t="s">
        <v>102</v>
      </c>
      <c r="G141" s="7" t="s">
        <v>102</v>
      </c>
      <c r="H141" s="7"/>
      <c r="I141" s="7" t="s">
        <v>51</v>
      </c>
      <c r="J141" s="35">
        <v>77120000</v>
      </c>
      <c r="K141" s="348">
        <v>83289600</v>
      </c>
      <c r="L141" s="37"/>
      <c r="M141" s="70">
        <f t="shared" ref="M141:M145" si="68">J141-J141*N141</f>
        <v>56297600</v>
      </c>
      <c r="N141" s="262">
        <v>0.27</v>
      </c>
      <c r="O141" s="37">
        <f t="shared" ref="O141:O145" si="69">+N141*J141</f>
        <v>20822400</v>
      </c>
      <c r="P141" s="13" t="s">
        <v>229</v>
      </c>
      <c r="Q141" s="7" t="str">
        <f>VLOOKUP('Data Doanh số'!P141,'DROPDOWNDATA-NOFILL'!$A$1:$B$40,2,FALSE)</f>
        <v>BU HCM</v>
      </c>
      <c r="R141" s="7" t="s">
        <v>60</v>
      </c>
      <c r="S141" s="7" t="s">
        <v>44</v>
      </c>
      <c r="T141" s="7" t="s">
        <v>99</v>
      </c>
      <c r="U141" s="7" t="s">
        <v>65</v>
      </c>
      <c r="V141" s="31">
        <v>46192</v>
      </c>
      <c r="W141" s="8">
        <f t="shared" ref="W141:W145" si="70">YEAR(D141)</f>
        <v>2026</v>
      </c>
      <c r="X141" s="8">
        <f t="shared" ref="X141:X145" si="71">MONTH(D141)</f>
        <v>6</v>
      </c>
      <c r="Y141" s="83">
        <f t="shared" ref="Y141:Y145" si="72">DAY(D141)</f>
        <v>19</v>
      </c>
      <c r="Z141" s="83" t="str">
        <f t="shared" si="54"/>
        <v>W3</v>
      </c>
      <c r="AA141" s="83" t="str">
        <f t="shared" ref="AA141:AA145" si="73">"Quý "&amp;ROMAN(ROUNDUP(X141/3,0))</f>
        <v>Quý II</v>
      </c>
      <c r="AB141" s="80" t="str">
        <f t="shared" ref="AB141:AB145" si="74">IF(OR(G141="Facebook",G141="Hotline",G141="Zalo",G141="Website",G141="Walk in"),"MKT",G141)</f>
        <v>Partner</v>
      </c>
      <c r="AC141" s="7"/>
    </row>
    <row r="142" spans="1:29" x14ac:dyDescent="0.2">
      <c r="A142" s="7">
        <f t="shared" si="55"/>
        <v>141</v>
      </c>
      <c r="B142" s="7" t="str">
        <f>LEFT(C142,12)</f>
        <v>29B2C2601010</v>
      </c>
      <c r="C142" s="10" t="s">
        <v>377</v>
      </c>
      <c r="D142" s="31">
        <v>46188</v>
      </c>
      <c r="E142" s="12" t="s">
        <v>128</v>
      </c>
      <c r="F142" s="12" t="s">
        <v>40</v>
      </c>
      <c r="G142" s="7" t="s">
        <v>40</v>
      </c>
      <c r="H142" s="7"/>
      <c r="I142" s="7" t="s">
        <v>51</v>
      </c>
      <c r="J142" s="35">
        <v>132653426</v>
      </c>
      <c r="K142" s="348">
        <v>143265700</v>
      </c>
      <c r="L142" s="37"/>
      <c r="M142" s="70">
        <f t="shared" si="68"/>
        <v>108775809.31999999</v>
      </c>
      <c r="N142" s="262">
        <v>0.18</v>
      </c>
      <c r="O142" s="37">
        <f t="shared" si="69"/>
        <v>23877616.68</v>
      </c>
      <c r="P142" s="13" t="s">
        <v>130</v>
      </c>
      <c r="Q142" s="7" t="str">
        <f>VLOOKUP('Data Doanh số'!P142,'DROPDOWNDATA-NOFILL'!$A$1:$B$40,2,FALSE)</f>
        <v>BU 3</v>
      </c>
      <c r="R142" s="7" t="s">
        <v>259</v>
      </c>
      <c r="S142" s="7" t="s">
        <v>44</v>
      </c>
      <c r="T142" s="7" t="s">
        <v>45</v>
      </c>
      <c r="U142" s="7" t="s">
        <v>65</v>
      </c>
      <c r="V142" s="31">
        <v>46027</v>
      </c>
      <c r="W142" s="8">
        <f t="shared" si="70"/>
        <v>2026</v>
      </c>
      <c r="X142" s="8">
        <f t="shared" si="71"/>
        <v>6</v>
      </c>
      <c r="Y142" s="83">
        <f t="shared" si="72"/>
        <v>15</v>
      </c>
      <c r="Z142" s="83" t="str">
        <f t="shared" si="54"/>
        <v>W3</v>
      </c>
      <c r="AA142" s="83" t="str">
        <f t="shared" si="73"/>
        <v>Quý II</v>
      </c>
      <c r="AB142" s="80" t="str">
        <f t="shared" si="74"/>
        <v>MKT</v>
      </c>
      <c r="AC142" s="7"/>
    </row>
    <row r="143" spans="1:29" x14ac:dyDescent="0.2">
      <c r="A143" s="7">
        <f t="shared" si="55"/>
        <v>142</v>
      </c>
      <c r="B143" s="7" t="str">
        <f>LEFT(C143,12)</f>
        <v>29B2B2606011</v>
      </c>
      <c r="C143" s="10" t="s">
        <v>378</v>
      </c>
      <c r="D143" s="31">
        <v>46191</v>
      </c>
      <c r="E143" s="12" t="s">
        <v>379</v>
      </c>
      <c r="F143" s="12" t="s">
        <v>102</v>
      </c>
      <c r="G143" s="7" t="s">
        <v>102</v>
      </c>
      <c r="H143" s="7"/>
      <c r="I143" s="7" t="s">
        <v>51</v>
      </c>
      <c r="J143" s="35">
        <v>1194053241</v>
      </c>
      <c r="K143" s="348">
        <v>1289577500</v>
      </c>
      <c r="L143" s="37"/>
      <c r="M143" s="70">
        <f t="shared" si="68"/>
        <v>955242592.79999995</v>
      </c>
      <c r="N143" s="262">
        <v>0.2</v>
      </c>
      <c r="O143" s="37">
        <f t="shared" si="69"/>
        <v>238810648.20000002</v>
      </c>
      <c r="P143" s="13" t="s">
        <v>80</v>
      </c>
      <c r="Q143" s="7" t="str">
        <f>VLOOKUP('Data Doanh số'!P143,'DROPDOWNDATA-NOFILL'!$A$1:$B$40,2,FALSE)</f>
        <v>BU HCM</v>
      </c>
      <c r="R143" s="7" t="s">
        <v>60</v>
      </c>
      <c r="S143" s="7" t="s">
        <v>35</v>
      </c>
      <c r="T143" s="7" t="s">
        <v>45</v>
      </c>
      <c r="U143" s="7" t="s">
        <v>65</v>
      </c>
      <c r="V143" s="31">
        <v>46056</v>
      </c>
      <c r="W143" s="8">
        <f t="shared" si="70"/>
        <v>2026</v>
      </c>
      <c r="X143" s="8">
        <f t="shared" si="71"/>
        <v>6</v>
      </c>
      <c r="Y143" s="83">
        <f t="shared" si="72"/>
        <v>18</v>
      </c>
      <c r="Z143" s="83" t="str">
        <f t="shared" si="54"/>
        <v>W3</v>
      </c>
      <c r="AA143" s="83" t="str">
        <f t="shared" si="73"/>
        <v>Quý II</v>
      </c>
      <c r="AB143" s="80" t="str">
        <f t="shared" si="74"/>
        <v>Partner</v>
      </c>
      <c r="AC143" s="7"/>
    </row>
    <row r="144" spans="1:29" x14ac:dyDescent="0.2">
      <c r="A144" s="7">
        <f t="shared" si="55"/>
        <v>143</v>
      </c>
      <c r="B144" s="7" t="str">
        <f>LEFT(C144,12)</f>
        <v>29B2B2606011</v>
      </c>
      <c r="C144" s="10" t="s">
        <v>380</v>
      </c>
      <c r="D144" s="31">
        <v>46191</v>
      </c>
      <c r="E144" s="12" t="s">
        <v>379</v>
      </c>
      <c r="F144" s="12" t="s">
        <v>102</v>
      </c>
      <c r="G144" s="7" t="s">
        <v>102</v>
      </c>
      <c r="H144" s="7"/>
      <c r="I144" s="7" t="s">
        <v>51</v>
      </c>
      <c r="J144" s="35">
        <v>1194053241</v>
      </c>
      <c r="K144" s="348">
        <v>1289577500</v>
      </c>
      <c r="L144" s="37"/>
      <c r="M144" s="70">
        <f t="shared" si="68"/>
        <v>955242592.79999995</v>
      </c>
      <c r="N144" s="262">
        <v>0.2</v>
      </c>
      <c r="O144" s="37">
        <f t="shared" si="69"/>
        <v>238810648.20000002</v>
      </c>
      <c r="P144" s="13" t="s">
        <v>113</v>
      </c>
      <c r="Q144" s="7" t="str">
        <f>VLOOKUP('Data Doanh số'!P144,'DROPDOWNDATA-NOFILL'!$A$1:$B$40,2,FALSE)</f>
        <v>BU 1</v>
      </c>
      <c r="R144" s="7" t="s">
        <v>60</v>
      </c>
      <c r="S144" s="7" t="s">
        <v>44</v>
      </c>
      <c r="T144" s="7" t="s">
        <v>45</v>
      </c>
      <c r="U144" s="7" t="s">
        <v>65</v>
      </c>
      <c r="V144" s="31">
        <v>46056</v>
      </c>
      <c r="W144" s="8">
        <f t="shared" si="70"/>
        <v>2026</v>
      </c>
      <c r="X144" s="8">
        <f t="shared" si="71"/>
        <v>6</v>
      </c>
      <c r="Y144" s="83">
        <f t="shared" si="72"/>
        <v>18</v>
      </c>
      <c r="Z144" s="83" t="str">
        <f t="shared" si="54"/>
        <v>W3</v>
      </c>
      <c r="AA144" s="83" t="str">
        <f t="shared" si="73"/>
        <v>Quý II</v>
      </c>
      <c r="AB144" s="80" t="str">
        <f t="shared" si="74"/>
        <v>Partner</v>
      </c>
      <c r="AC144" s="7"/>
    </row>
    <row r="145" spans="1:29" x14ac:dyDescent="0.2">
      <c r="A145" s="7">
        <f t="shared" si="55"/>
        <v>144</v>
      </c>
      <c r="B145" s="7" t="str">
        <f>LEFT(C145,12)</f>
        <v>29REN2606009</v>
      </c>
      <c r="C145" s="10" t="s">
        <v>381</v>
      </c>
      <c r="D145" s="31">
        <v>46189</v>
      </c>
      <c r="E145" s="12" t="s">
        <v>382</v>
      </c>
      <c r="F145" s="12" t="s">
        <v>98</v>
      </c>
      <c r="G145" s="7" t="s">
        <v>98</v>
      </c>
      <c r="H145" s="7"/>
      <c r="I145" s="7" t="s">
        <v>70</v>
      </c>
      <c r="J145" s="35">
        <v>34755556</v>
      </c>
      <c r="K145" s="348">
        <v>37536000</v>
      </c>
      <c r="L145" s="37"/>
      <c r="M145" s="70">
        <f t="shared" si="68"/>
        <v>17377778</v>
      </c>
      <c r="N145" s="262">
        <v>0.5</v>
      </c>
      <c r="O145" s="37">
        <f t="shared" si="69"/>
        <v>17377778</v>
      </c>
      <c r="P145" s="13" t="s">
        <v>71</v>
      </c>
      <c r="Q145" s="7" t="str">
        <f>VLOOKUP('Data Doanh số'!P145,'DROPDOWNDATA-NOFILL'!$A$1:$B$40,2,FALSE)</f>
        <v>BU 1</v>
      </c>
      <c r="R145" s="7" t="s">
        <v>60</v>
      </c>
      <c r="S145" s="7" t="s">
        <v>44</v>
      </c>
      <c r="T145" s="7" t="s">
        <v>45</v>
      </c>
      <c r="U145" s="7" t="s">
        <v>65</v>
      </c>
      <c r="V145" s="31">
        <v>46189</v>
      </c>
      <c r="W145" s="8">
        <f t="shared" si="70"/>
        <v>2026</v>
      </c>
      <c r="X145" s="8">
        <f t="shared" si="71"/>
        <v>6</v>
      </c>
      <c r="Y145" s="83">
        <f t="shared" si="72"/>
        <v>16</v>
      </c>
      <c r="Z145" s="83" t="str">
        <f t="shared" si="54"/>
        <v>W3</v>
      </c>
      <c r="AA145" s="83" t="str">
        <f t="shared" si="73"/>
        <v>Quý II</v>
      </c>
      <c r="AB145" s="80" t="str">
        <f t="shared" si="74"/>
        <v>MKT</v>
      </c>
      <c r="AC145" s="7"/>
    </row>
    <row r="146" spans="1:29" x14ac:dyDescent="0.2">
      <c r="A146" s="7">
        <f t="shared" si="55"/>
        <v>145</v>
      </c>
      <c r="B146" s="7"/>
      <c r="C146" s="10" t="s">
        <v>383</v>
      </c>
      <c r="D146" s="31">
        <v>46193</v>
      </c>
      <c r="E146" s="12" t="s">
        <v>383</v>
      </c>
      <c r="F146" s="12" t="s">
        <v>117</v>
      </c>
      <c r="G146" s="7" t="s">
        <v>117</v>
      </c>
      <c r="H146" s="7"/>
      <c r="I146" s="7" t="s">
        <v>74</v>
      </c>
      <c r="J146" s="35">
        <v>1256646</v>
      </c>
      <c r="K146" s="348">
        <f>+J146*1.08</f>
        <v>1357177.6800000002</v>
      </c>
      <c r="L146" s="37"/>
      <c r="M146" s="37"/>
      <c r="N146" s="262"/>
      <c r="O146" s="37"/>
      <c r="P146" s="13" t="s">
        <v>364</v>
      </c>
      <c r="Q146" s="7" t="str">
        <f>VLOOKUP('Data Doanh số'!P146,'DROPDOWNDATA-NOFILL'!$A$1:$B$40,2,FALSE)</f>
        <v>TMĐT</v>
      </c>
      <c r="R146" s="7" t="s">
        <v>34</v>
      </c>
      <c r="S146" s="7" t="s">
        <v>44</v>
      </c>
      <c r="T146" s="7" t="s">
        <v>45</v>
      </c>
      <c r="U146" s="7" t="s">
        <v>65</v>
      </c>
      <c r="V146" s="31"/>
      <c r="W146" s="8">
        <f t="shared" ref="W146" si="75">YEAR(D146)</f>
        <v>2026</v>
      </c>
      <c r="X146" s="8">
        <f t="shared" ref="X146" si="76">MONTH(D146)</f>
        <v>6</v>
      </c>
      <c r="Y146" s="83">
        <f t="shared" ref="Y146" si="77">DAY(D146)</f>
        <v>20</v>
      </c>
      <c r="Z146" s="83" t="str">
        <f t="shared" si="54"/>
        <v>W3</v>
      </c>
      <c r="AA146" s="83" t="str">
        <f t="shared" ref="AA146" si="78">"Quý "&amp;ROMAN(ROUNDUP(X146/3,0))</f>
        <v>Quý II</v>
      </c>
      <c r="AB146" s="80" t="str">
        <f t="shared" ref="AB146" si="79">IF(OR(G146="Facebook",G146="Hotline",G146="Zalo",G146="Website",G146="Walk in"),"MKT",G146)</f>
        <v>TMĐT</v>
      </c>
      <c r="AC146" s="7"/>
    </row>
    <row r="147" spans="1:29" x14ac:dyDescent="0.2">
      <c r="A147" s="7">
        <f>ROW(C147)-1</f>
        <v>146</v>
      </c>
      <c r="B147" s="7" t="str">
        <f t="shared" ref="B147:B210" si="80">LEFT(C147,12)</f>
        <v>29B2C2605013</v>
      </c>
      <c r="C147" s="10" t="s">
        <v>384</v>
      </c>
      <c r="D147" s="31">
        <v>46195</v>
      </c>
      <c r="E147" s="12" t="s">
        <v>355</v>
      </c>
      <c r="F147" s="12" t="s">
        <v>40</v>
      </c>
      <c r="G147" s="7" t="s">
        <v>40</v>
      </c>
      <c r="H147" s="7"/>
      <c r="I147" s="7" t="s">
        <v>51</v>
      </c>
      <c r="J147" s="35">
        <f>+K147/1.08</f>
        <v>118643721.29629628</v>
      </c>
      <c r="K147" s="70">
        <v>128135219</v>
      </c>
      <c r="L147" s="37"/>
      <c r="M147" s="70">
        <f>J147-J147*N147</f>
        <v>83050604.907407403</v>
      </c>
      <c r="N147" s="262">
        <v>0.3</v>
      </c>
      <c r="O147" s="37">
        <f>+N147*J147</f>
        <v>35593116.388888881</v>
      </c>
      <c r="P147" s="13" t="s">
        <v>130</v>
      </c>
      <c r="Q147" s="7" t="str">
        <f>VLOOKUP('Data Doanh số'!P147,'DROPDOWNDATA-NOFILL'!$A$1:$B$40,2,FALSE)</f>
        <v>BU 3</v>
      </c>
      <c r="R147" s="7" t="s">
        <v>34</v>
      </c>
      <c r="S147" s="7" t="s">
        <v>44</v>
      </c>
      <c r="T147" s="7" t="s">
        <v>282</v>
      </c>
      <c r="U147" s="7" t="s">
        <v>65</v>
      </c>
      <c r="V147" s="31">
        <v>46163</v>
      </c>
      <c r="W147" s="8">
        <f>YEAR(D147)</f>
        <v>2026</v>
      </c>
      <c r="X147" s="8">
        <f>MONTH(D147)</f>
        <v>6</v>
      </c>
      <c r="Y147" s="83">
        <f>DAY(D147)</f>
        <v>22</v>
      </c>
      <c r="Z147" s="83" t="str">
        <f t="shared" si="54"/>
        <v>W4</v>
      </c>
      <c r="AA147" s="83" t="str">
        <f>"Quý "&amp;ROMAN(ROUNDUP(X147/3,0))</f>
        <v>Quý II</v>
      </c>
      <c r="AB147" s="80" t="str">
        <f>IF(OR(G147="Facebook",G147="Hotline",G147="Zalo",G147="Website",G147="Walk in"),"MKT",G147)</f>
        <v>MKT</v>
      </c>
      <c r="AC147" s="7"/>
    </row>
    <row r="148" spans="1:29" x14ac:dyDescent="0.2">
      <c r="A148" s="7">
        <f t="shared" ref="A148:A150" si="81">ROW(C148)-1</f>
        <v>147</v>
      </c>
      <c r="B148" s="7" t="str">
        <f t="shared" si="80"/>
        <v>51B2C2606012</v>
      </c>
      <c r="C148" s="10" t="s">
        <v>385</v>
      </c>
      <c r="D148" s="31">
        <v>46198</v>
      </c>
      <c r="E148" s="12" t="s">
        <v>386</v>
      </c>
      <c r="F148" s="12" t="s">
        <v>40</v>
      </c>
      <c r="G148" s="7" t="s">
        <v>40</v>
      </c>
      <c r="H148" s="7"/>
      <c r="I148" s="7" t="s">
        <v>51</v>
      </c>
      <c r="J148" s="35">
        <f>+K148/1.08</f>
        <v>104632060.18518518</v>
      </c>
      <c r="K148" s="70">
        <v>113002625</v>
      </c>
      <c r="L148" s="37"/>
      <c r="M148" s="70">
        <f>J148-J148*N148</f>
        <v>79520365.740740746</v>
      </c>
      <c r="N148" s="262">
        <v>0.24</v>
      </c>
      <c r="O148" s="37">
        <f>+N148*J148</f>
        <v>25111694.44444444</v>
      </c>
      <c r="P148" s="13" t="s">
        <v>229</v>
      </c>
      <c r="Q148" s="7" t="str">
        <f>VLOOKUP('Data Doanh số'!P148,'DROPDOWNDATA-NOFILL'!$A$1:$B$40,2,FALSE)</f>
        <v>BU HCM</v>
      </c>
      <c r="R148" s="7" t="s">
        <v>34</v>
      </c>
      <c r="S148" s="7" t="s">
        <v>44</v>
      </c>
      <c r="T148" s="7" t="s">
        <v>99</v>
      </c>
      <c r="U148" s="7" t="s">
        <v>65</v>
      </c>
      <c r="V148" s="31">
        <v>46096</v>
      </c>
      <c r="W148" s="8">
        <f>YEAR(D148)</f>
        <v>2026</v>
      </c>
      <c r="X148" s="8">
        <f>MONTH(D148)</f>
        <v>6</v>
      </c>
      <c r="Y148" s="83">
        <f>DAY(D148)</f>
        <v>25</v>
      </c>
      <c r="Z148" s="83" t="str">
        <f t="shared" si="54"/>
        <v>W4</v>
      </c>
      <c r="AA148" s="83" t="str">
        <f>"Quý "&amp;ROMAN(ROUNDUP(X148/3,0))</f>
        <v>Quý II</v>
      </c>
      <c r="AB148" s="80" t="str">
        <f>IF(OR(G148="Facebook",G148="Hotline",G148="Zalo",G148="Website",G148="Walk in"),"MKT",G148)</f>
        <v>MKT</v>
      </c>
      <c r="AC148" s="7"/>
    </row>
    <row r="149" spans="1:29" x14ac:dyDescent="0.2">
      <c r="A149" s="7">
        <f t="shared" si="81"/>
        <v>148</v>
      </c>
      <c r="B149" s="7" t="str">
        <f t="shared" si="80"/>
        <v>29B2C2606016</v>
      </c>
      <c r="C149" s="10" t="s">
        <v>387</v>
      </c>
      <c r="D149" s="31">
        <v>46202</v>
      </c>
      <c r="E149" s="12" t="s">
        <v>388</v>
      </c>
      <c r="F149" s="12" t="s">
        <v>40</v>
      </c>
      <c r="G149" s="7" t="s">
        <v>40</v>
      </c>
      <c r="H149" s="7"/>
      <c r="I149" s="7" t="s">
        <v>41</v>
      </c>
      <c r="J149" s="35">
        <v>2777778</v>
      </c>
      <c r="K149" s="70">
        <v>3000000</v>
      </c>
      <c r="L149" s="37"/>
      <c r="M149" s="70">
        <f t="shared" ref="M149:M151" si="82">J149-J149*N149</f>
        <v>2222222.4</v>
      </c>
      <c r="N149" s="262">
        <v>0.2</v>
      </c>
      <c r="O149" s="37">
        <f t="shared" ref="O149:O151" si="83">+N149*J149</f>
        <v>555555.6</v>
      </c>
      <c r="P149" s="13" t="s">
        <v>71</v>
      </c>
      <c r="Q149" s="7" t="str">
        <f>VLOOKUP('Data Doanh số'!P149,'DROPDOWNDATA-NOFILL'!$A$1:$B$40,2,FALSE)</f>
        <v>BU 1</v>
      </c>
      <c r="R149" s="7" t="s">
        <v>60</v>
      </c>
      <c r="S149" s="7" t="s">
        <v>44</v>
      </c>
      <c r="T149" s="7" t="s">
        <v>45</v>
      </c>
      <c r="U149" s="7" t="s">
        <v>65</v>
      </c>
      <c r="V149" s="31">
        <v>46196</v>
      </c>
      <c r="W149" s="8">
        <f t="shared" ref="W149:W150" si="84">YEAR(D149)</f>
        <v>2026</v>
      </c>
      <c r="X149" s="8">
        <f t="shared" ref="X149:X150" si="85">MONTH(D149)</f>
        <v>6</v>
      </c>
      <c r="Y149" s="83">
        <f t="shared" ref="Y149:Y150" si="86">DAY(D149)</f>
        <v>29</v>
      </c>
      <c r="Z149" s="83" t="str">
        <f t="shared" ref="Z149:Z150" si="87">"W"&amp;WEEKNUM(D149)-WEEKNUM(EOMONTH(D149,-1)+1)+1</f>
        <v>W5</v>
      </c>
      <c r="AA149" s="83" t="str">
        <f t="shared" ref="AA149:AA150" si="88">"Quý "&amp;ROMAN(ROUNDUP(X149/3,0))</f>
        <v>Quý II</v>
      </c>
      <c r="AB149" s="80" t="str">
        <f t="shared" ref="AB149:AB150" si="89">IF(OR(G149="Facebook",G149="Hotline",G149="Zalo",G149="Website",G149="Walk in"),"MKT",G149)</f>
        <v>MKT</v>
      </c>
      <c r="AC149" s="7"/>
    </row>
    <row r="150" spans="1:29" x14ac:dyDescent="0.2">
      <c r="A150" s="7">
        <f t="shared" si="81"/>
        <v>149</v>
      </c>
      <c r="B150" s="7" t="str">
        <f t="shared" si="80"/>
        <v>29B2C2606014</v>
      </c>
      <c r="C150" s="10" t="s">
        <v>389</v>
      </c>
      <c r="D150" s="31">
        <v>46202</v>
      </c>
      <c r="E150" s="12" t="s">
        <v>390</v>
      </c>
      <c r="F150" s="12" t="s">
        <v>98</v>
      </c>
      <c r="G150" s="7" t="s">
        <v>98</v>
      </c>
      <c r="H150" s="7"/>
      <c r="I150" s="7" t="s">
        <v>41</v>
      </c>
      <c r="J150" s="35">
        <v>23148148</v>
      </c>
      <c r="K150" s="70">
        <v>25000000</v>
      </c>
      <c r="L150" s="37"/>
      <c r="M150" s="70">
        <f t="shared" si="82"/>
        <v>18518518.399999999</v>
      </c>
      <c r="N150" s="262">
        <v>0.2</v>
      </c>
      <c r="O150" s="37">
        <f t="shared" si="83"/>
        <v>4629629.6000000006</v>
      </c>
      <c r="P150" s="13" t="s">
        <v>349</v>
      </c>
      <c r="Q150" s="7" t="str">
        <f>VLOOKUP('Data Doanh số'!P150,'DROPDOWNDATA-NOFILL'!$A$1:$B$40,2,FALSE)</f>
        <v>BU 1</v>
      </c>
      <c r="R150" s="7" t="s">
        <v>43</v>
      </c>
      <c r="S150" s="7" t="s">
        <v>44</v>
      </c>
      <c r="T150" s="7" t="s">
        <v>45</v>
      </c>
      <c r="U150" s="7" t="s">
        <v>65</v>
      </c>
      <c r="V150" s="31">
        <v>46190</v>
      </c>
      <c r="W150" s="8">
        <f t="shared" si="84"/>
        <v>2026</v>
      </c>
      <c r="X150" s="8">
        <f t="shared" si="85"/>
        <v>6</v>
      </c>
      <c r="Y150" s="83">
        <f t="shared" si="86"/>
        <v>29</v>
      </c>
      <c r="Z150" s="83" t="str">
        <f t="shared" si="87"/>
        <v>W5</v>
      </c>
      <c r="AA150" s="83" t="str">
        <f t="shared" si="88"/>
        <v>Quý II</v>
      </c>
      <c r="AB150" s="80" t="str">
        <f t="shared" si="89"/>
        <v>MKT</v>
      </c>
      <c r="AC150" s="7"/>
    </row>
    <row r="151" spans="1:29" x14ac:dyDescent="0.2">
      <c r="A151" s="7">
        <v>150</v>
      </c>
      <c r="B151" s="7" t="str">
        <f t="shared" si="80"/>
        <v>29B2C2606017</v>
      </c>
      <c r="C151" s="10" t="s">
        <v>391</v>
      </c>
      <c r="D151" s="31">
        <v>46203</v>
      </c>
      <c r="E151" s="12" t="s">
        <v>618</v>
      </c>
      <c r="F151" s="12" t="s">
        <v>98</v>
      </c>
      <c r="G151" s="7" t="s">
        <v>98</v>
      </c>
      <c r="H151" s="7"/>
      <c r="I151" s="7" t="s">
        <v>41</v>
      </c>
      <c r="J151" s="35">
        <f>+K151/1.08</f>
        <v>4740740.7407407407</v>
      </c>
      <c r="K151" s="70">
        <v>5120000</v>
      </c>
      <c r="L151" s="37"/>
      <c r="M151" s="70">
        <f t="shared" si="82"/>
        <v>3792592.5925925924</v>
      </c>
      <c r="N151" s="262">
        <v>0.2</v>
      </c>
      <c r="O151" s="37">
        <f t="shared" si="83"/>
        <v>948148.1481481482</v>
      </c>
      <c r="P151" s="13" t="s">
        <v>42</v>
      </c>
      <c r="Q151" s="7" t="str">
        <f>VLOOKUP('Data Doanh số'!P151,'DROPDOWNDATA-NOFILL'!$A$1:$B$40,2,FALSE)</f>
        <v>BU 1</v>
      </c>
      <c r="R151" s="7" t="s">
        <v>60</v>
      </c>
      <c r="S151" s="7" t="s">
        <v>44</v>
      </c>
      <c r="T151" s="7" t="s">
        <v>45</v>
      </c>
      <c r="U151" s="7" t="s">
        <v>65</v>
      </c>
      <c r="V151" s="31">
        <v>46192</v>
      </c>
      <c r="W151" s="8">
        <f t="shared" ref="W151" si="90">YEAR(D151)</f>
        <v>2026</v>
      </c>
      <c r="X151" s="8">
        <f t="shared" ref="X151" si="91">MONTH(D151)</f>
        <v>6</v>
      </c>
      <c r="Y151" s="83">
        <f t="shared" ref="Y151" si="92">DAY(D151)</f>
        <v>30</v>
      </c>
      <c r="Z151" s="83" t="str">
        <f t="shared" ref="Z151" si="93">"W"&amp;WEEKNUM(D151)-WEEKNUM(EOMONTH(D151,-1)+1)+1</f>
        <v>W5</v>
      </c>
      <c r="AA151" s="83" t="str">
        <f t="shared" ref="AA151" si="94">"Quý "&amp;ROMAN(ROUNDUP(X151/3,0))</f>
        <v>Quý II</v>
      </c>
      <c r="AB151" s="80" t="str">
        <f t="shared" ref="AB151" si="95">IF(OR(G151="Facebook",G151="Hotline",G151="Zalo",G151="Website",G151="Walk in"),"MKT",G151)</f>
        <v>MKT</v>
      </c>
      <c r="AC151" s="7"/>
    </row>
    <row r="152" spans="1:29" x14ac:dyDescent="0.2">
      <c r="A152" s="7"/>
      <c r="B152" s="7" t="str">
        <f t="shared" si="80"/>
        <v/>
      </c>
      <c r="C152" s="10"/>
      <c r="D152" s="31"/>
      <c r="E152" s="12"/>
      <c r="F152" s="12"/>
      <c r="G152" s="7"/>
      <c r="H152" s="7"/>
      <c r="I152" s="7"/>
      <c r="J152" s="35"/>
      <c r="K152" s="37"/>
      <c r="L152" s="37"/>
      <c r="M152" s="37"/>
      <c r="N152" s="262"/>
      <c r="O152" s="37"/>
      <c r="P152" s="13"/>
      <c r="Q152" s="7"/>
      <c r="R152" s="7"/>
      <c r="S152" s="7"/>
      <c r="T152" s="7"/>
      <c r="U152" s="7"/>
      <c r="V152" s="31"/>
      <c r="W152" s="8"/>
      <c r="X152" s="8"/>
      <c r="Y152" s="83"/>
      <c r="Z152" s="83"/>
      <c r="AA152" s="83"/>
      <c r="AB152" s="80"/>
      <c r="AC152" s="7"/>
    </row>
    <row r="153" spans="1:29" x14ac:dyDescent="0.2">
      <c r="A153" s="7"/>
      <c r="B153" s="7" t="str">
        <f t="shared" si="80"/>
        <v/>
      </c>
      <c r="C153" s="10"/>
      <c r="D153" s="31"/>
      <c r="E153" s="12"/>
      <c r="F153" s="12"/>
      <c r="G153" s="7"/>
      <c r="H153" s="7"/>
      <c r="I153" s="7"/>
      <c r="J153" s="35"/>
      <c r="K153" s="37"/>
      <c r="L153" s="37"/>
      <c r="M153" s="37"/>
      <c r="N153" s="262"/>
      <c r="O153" s="37"/>
      <c r="P153" s="13"/>
      <c r="Q153" s="7"/>
      <c r="R153" s="7"/>
      <c r="S153" s="7"/>
      <c r="T153" s="7"/>
      <c r="U153" s="7"/>
      <c r="V153" s="31"/>
      <c r="W153" s="8"/>
      <c r="X153" s="8"/>
      <c r="Y153" s="83"/>
      <c r="Z153" s="83"/>
      <c r="AA153" s="83"/>
      <c r="AB153" s="80"/>
      <c r="AC153" s="7"/>
    </row>
    <row r="154" spans="1:29" x14ac:dyDescent="0.2">
      <c r="A154" s="7"/>
      <c r="B154" s="7" t="str">
        <f t="shared" si="80"/>
        <v/>
      </c>
      <c r="C154" s="10"/>
      <c r="D154" s="31"/>
      <c r="E154" s="12"/>
      <c r="F154" s="12"/>
      <c r="G154" s="7"/>
      <c r="H154" s="7"/>
      <c r="I154" s="7"/>
      <c r="J154" s="35"/>
      <c r="K154" s="37"/>
      <c r="L154" s="37"/>
      <c r="M154" s="37"/>
      <c r="N154" s="262"/>
      <c r="O154" s="37"/>
      <c r="P154" s="13"/>
      <c r="Q154" s="7"/>
      <c r="R154" s="7"/>
      <c r="S154" s="7"/>
      <c r="T154" s="7"/>
      <c r="U154" s="7"/>
      <c r="V154" s="31"/>
      <c r="W154" s="8"/>
      <c r="X154" s="8"/>
      <c r="Y154" s="83"/>
      <c r="Z154" s="83"/>
      <c r="AA154" s="83"/>
      <c r="AB154" s="80"/>
      <c r="AC154" s="7"/>
    </row>
    <row r="155" spans="1:29" x14ac:dyDescent="0.2">
      <c r="A155" s="7"/>
      <c r="B155" s="7" t="str">
        <f t="shared" si="80"/>
        <v/>
      </c>
      <c r="C155" s="10"/>
      <c r="D155" s="31"/>
      <c r="E155" s="12"/>
      <c r="F155" s="12"/>
      <c r="G155" s="7"/>
      <c r="H155" s="7"/>
      <c r="I155" s="7"/>
      <c r="J155" s="35"/>
      <c r="K155" s="37"/>
      <c r="L155" s="37"/>
      <c r="M155" s="37"/>
      <c r="N155" s="262"/>
      <c r="O155" s="37"/>
      <c r="P155" s="13"/>
      <c r="Q155" s="7"/>
      <c r="R155" s="7"/>
      <c r="S155" s="7"/>
      <c r="T155" s="7"/>
      <c r="U155" s="7"/>
      <c r="V155" s="31"/>
      <c r="W155" s="8"/>
      <c r="X155" s="8"/>
      <c r="Y155" s="83"/>
      <c r="Z155" s="83"/>
      <c r="AA155" s="83"/>
      <c r="AB155" s="80"/>
      <c r="AC155" s="7"/>
    </row>
    <row r="156" spans="1:29" x14ac:dyDescent="0.2">
      <c r="A156" s="7"/>
      <c r="B156" s="7" t="str">
        <f t="shared" si="80"/>
        <v/>
      </c>
      <c r="C156" s="10"/>
      <c r="D156" s="31"/>
      <c r="E156" s="12"/>
      <c r="F156" s="12"/>
      <c r="G156" s="7"/>
      <c r="H156" s="7"/>
      <c r="I156" s="7"/>
      <c r="J156" s="35"/>
      <c r="K156" s="51"/>
      <c r="L156" s="51"/>
      <c r="M156" s="51"/>
      <c r="N156" s="262"/>
      <c r="O156" s="51"/>
      <c r="P156" s="13"/>
      <c r="Q156" s="7"/>
      <c r="R156" s="7"/>
      <c r="S156" s="7"/>
      <c r="T156" s="7"/>
      <c r="U156" s="7"/>
      <c r="V156" s="31"/>
      <c r="W156" s="8"/>
      <c r="X156" s="8"/>
      <c r="Y156" s="83"/>
      <c r="Z156" s="83"/>
      <c r="AA156" s="83"/>
      <c r="AB156" s="80"/>
      <c r="AC156" s="7"/>
    </row>
    <row r="157" spans="1:29" x14ac:dyDescent="0.2">
      <c r="A157" s="7"/>
      <c r="B157" s="7" t="str">
        <f t="shared" si="80"/>
        <v/>
      </c>
      <c r="C157" s="10"/>
      <c r="D157" s="31"/>
      <c r="E157" s="12"/>
      <c r="F157" s="12"/>
      <c r="G157" s="7"/>
      <c r="H157" s="7"/>
      <c r="I157" s="7"/>
      <c r="J157" s="35"/>
      <c r="K157" s="37"/>
      <c r="L157" s="37"/>
      <c r="M157" s="37"/>
      <c r="N157" s="262"/>
      <c r="O157" s="37"/>
      <c r="P157" s="13"/>
      <c r="Q157" s="7"/>
      <c r="R157" s="7"/>
      <c r="S157" s="7"/>
      <c r="T157" s="7"/>
      <c r="U157" s="7"/>
      <c r="V157" s="31"/>
      <c r="W157" s="8"/>
      <c r="X157" s="8"/>
      <c r="Y157" s="83"/>
      <c r="Z157" s="83"/>
      <c r="AA157" s="83"/>
      <c r="AB157" s="80"/>
      <c r="AC157" s="7"/>
    </row>
    <row r="158" spans="1:29" x14ac:dyDescent="0.2">
      <c r="A158" s="7"/>
      <c r="B158" s="7" t="str">
        <f t="shared" si="80"/>
        <v/>
      </c>
      <c r="C158" s="10"/>
      <c r="D158" s="31"/>
      <c r="E158" s="12"/>
      <c r="F158" s="12"/>
      <c r="G158" s="7"/>
      <c r="H158" s="7"/>
      <c r="I158" s="7"/>
      <c r="J158" s="35"/>
      <c r="K158" s="37"/>
      <c r="L158" s="37"/>
      <c r="M158" s="37"/>
      <c r="N158" s="262"/>
      <c r="O158" s="37"/>
      <c r="P158" s="13"/>
      <c r="Q158" s="7"/>
      <c r="R158" s="7"/>
      <c r="S158" s="7"/>
      <c r="T158" s="7"/>
      <c r="U158" s="7"/>
      <c r="V158" s="31"/>
      <c r="W158" s="8"/>
      <c r="X158" s="8"/>
      <c r="Y158" s="83"/>
      <c r="Z158" s="83"/>
      <c r="AA158" s="83"/>
      <c r="AB158" s="80"/>
      <c r="AC158" s="7"/>
    </row>
    <row r="159" spans="1:29" x14ac:dyDescent="0.2">
      <c r="A159" s="7"/>
      <c r="B159" s="7" t="str">
        <f t="shared" si="80"/>
        <v/>
      </c>
      <c r="C159" s="10"/>
      <c r="D159" s="31"/>
      <c r="E159" s="12"/>
      <c r="F159" s="12"/>
      <c r="G159" s="7"/>
      <c r="H159" s="7"/>
      <c r="I159" s="7"/>
      <c r="J159" s="35"/>
      <c r="K159" s="37"/>
      <c r="L159" s="37"/>
      <c r="M159" s="37"/>
      <c r="N159" s="262"/>
      <c r="O159" s="37"/>
      <c r="P159" s="13"/>
      <c r="Q159" s="7"/>
      <c r="R159" s="7"/>
      <c r="S159" s="7"/>
      <c r="T159" s="7"/>
      <c r="U159" s="7"/>
      <c r="V159" s="31"/>
      <c r="W159" s="8"/>
      <c r="X159" s="8"/>
      <c r="Y159" s="83"/>
      <c r="Z159" s="83"/>
      <c r="AA159" s="83"/>
      <c r="AB159" s="80"/>
      <c r="AC159" s="7"/>
    </row>
    <row r="160" spans="1:29" x14ac:dyDescent="0.2">
      <c r="A160" s="7"/>
      <c r="B160" s="7" t="str">
        <f t="shared" si="80"/>
        <v/>
      </c>
      <c r="C160" s="10"/>
      <c r="D160" s="31"/>
      <c r="E160" s="12"/>
      <c r="F160" s="12"/>
      <c r="G160" s="7"/>
      <c r="H160" s="7"/>
      <c r="I160" s="7"/>
      <c r="J160" s="35"/>
      <c r="K160" s="37"/>
      <c r="L160" s="37"/>
      <c r="M160" s="37"/>
      <c r="N160" s="262"/>
      <c r="O160" s="37"/>
      <c r="P160" s="13"/>
      <c r="Q160" s="7"/>
      <c r="R160" s="7"/>
      <c r="S160" s="7"/>
      <c r="T160" s="7"/>
      <c r="U160" s="7"/>
      <c r="V160" s="31"/>
      <c r="W160" s="8"/>
      <c r="X160" s="8"/>
      <c r="Y160" s="83"/>
      <c r="Z160" s="83"/>
      <c r="AA160" s="83"/>
      <c r="AB160" s="80"/>
      <c r="AC160" s="7"/>
    </row>
    <row r="161" spans="1:29" x14ac:dyDescent="0.2">
      <c r="A161" s="7"/>
      <c r="B161" s="7" t="str">
        <f t="shared" si="80"/>
        <v/>
      </c>
      <c r="C161" s="10"/>
      <c r="D161" s="31"/>
      <c r="E161" s="12"/>
      <c r="F161" s="12"/>
      <c r="G161" s="7"/>
      <c r="H161" s="7"/>
      <c r="I161" s="7"/>
      <c r="J161" s="35"/>
      <c r="K161" s="37"/>
      <c r="L161" s="37"/>
      <c r="M161" s="37"/>
      <c r="N161" s="262"/>
      <c r="O161" s="37"/>
      <c r="P161" s="13"/>
      <c r="Q161" s="7"/>
      <c r="R161" s="7"/>
      <c r="S161" s="7"/>
      <c r="T161" s="7"/>
      <c r="U161" s="7"/>
      <c r="V161" s="31"/>
      <c r="W161" s="8"/>
      <c r="X161" s="8"/>
      <c r="Y161" s="83"/>
      <c r="Z161" s="83"/>
      <c r="AA161" s="83"/>
      <c r="AB161" s="80"/>
      <c r="AC161" s="7"/>
    </row>
    <row r="162" spans="1:29" x14ac:dyDescent="0.2">
      <c r="A162" s="7"/>
      <c r="B162" s="7" t="str">
        <f t="shared" si="80"/>
        <v/>
      </c>
      <c r="C162" s="10"/>
      <c r="D162" s="31"/>
      <c r="E162" s="12"/>
      <c r="F162" s="12"/>
      <c r="G162" s="7"/>
      <c r="H162" s="7"/>
      <c r="I162" s="7"/>
      <c r="J162" s="35"/>
      <c r="K162" s="37"/>
      <c r="L162" s="37"/>
      <c r="M162" s="37"/>
      <c r="N162" s="262"/>
      <c r="O162" s="37"/>
      <c r="P162" s="13"/>
      <c r="Q162" s="7"/>
      <c r="R162" s="7"/>
      <c r="S162" s="7"/>
      <c r="T162" s="7"/>
      <c r="U162" s="7"/>
      <c r="V162" s="31"/>
      <c r="W162" s="8"/>
      <c r="X162" s="8"/>
      <c r="Y162" s="83"/>
      <c r="Z162" s="83"/>
      <c r="AA162" s="83"/>
      <c r="AB162" s="80"/>
      <c r="AC162" s="7"/>
    </row>
    <row r="163" spans="1:29" x14ac:dyDescent="0.2">
      <c r="A163" s="7"/>
      <c r="B163" s="7" t="str">
        <f t="shared" si="80"/>
        <v/>
      </c>
      <c r="C163" s="10"/>
      <c r="D163" s="31"/>
      <c r="E163" s="12"/>
      <c r="F163" s="12"/>
      <c r="G163" s="7"/>
      <c r="H163" s="7"/>
      <c r="I163" s="7"/>
      <c r="J163" s="7"/>
      <c r="K163" s="37"/>
      <c r="L163" s="37"/>
      <c r="M163" s="37"/>
      <c r="N163" s="262"/>
      <c r="O163" s="37"/>
      <c r="P163" s="13"/>
      <c r="Q163" s="7"/>
      <c r="R163" s="7"/>
      <c r="S163" s="7"/>
      <c r="T163" s="7"/>
      <c r="U163" s="7"/>
      <c r="V163" s="31"/>
      <c r="W163" s="8"/>
      <c r="X163" s="8"/>
      <c r="Y163" s="83"/>
      <c r="Z163" s="83"/>
      <c r="AA163" s="83"/>
      <c r="AB163" s="80"/>
      <c r="AC163" s="7"/>
    </row>
    <row r="164" spans="1:29" x14ac:dyDescent="0.2">
      <c r="A164" s="7"/>
      <c r="B164" s="7" t="str">
        <f t="shared" si="80"/>
        <v/>
      </c>
      <c r="C164" s="10"/>
      <c r="D164" s="31"/>
      <c r="E164" s="12"/>
      <c r="F164" s="12"/>
      <c r="G164" s="7"/>
      <c r="H164" s="7"/>
      <c r="I164" s="7"/>
      <c r="J164" s="7"/>
      <c r="K164" s="37"/>
      <c r="L164" s="37"/>
      <c r="M164" s="37"/>
      <c r="N164" s="262"/>
      <c r="O164" s="37"/>
      <c r="P164" s="13"/>
      <c r="Q164" s="7"/>
      <c r="R164" s="7"/>
      <c r="S164" s="7"/>
      <c r="T164" s="7"/>
      <c r="U164" s="7"/>
      <c r="V164" s="31"/>
      <c r="W164" s="8"/>
      <c r="X164" s="8"/>
      <c r="Y164" s="83"/>
      <c r="Z164" s="83"/>
      <c r="AA164" s="83"/>
      <c r="AB164" s="80"/>
      <c r="AC164" s="7"/>
    </row>
    <row r="165" spans="1:29" x14ac:dyDescent="0.2">
      <c r="A165" s="7"/>
      <c r="B165" s="7" t="str">
        <f t="shared" si="80"/>
        <v/>
      </c>
      <c r="C165" s="10"/>
      <c r="D165" s="31"/>
      <c r="E165" s="12"/>
      <c r="F165" s="12"/>
      <c r="G165" s="7"/>
      <c r="H165" s="7"/>
      <c r="I165" s="7"/>
      <c r="J165" s="7"/>
      <c r="K165" s="37"/>
      <c r="L165" s="37"/>
      <c r="M165" s="37"/>
      <c r="N165" s="262"/>
      <c r="O165" s="37"/>
      <c r="P165" s="13"/>
      <c r="Q165" s="7"/>
      <c r="R165" s="7"/>
      <c r="S165" s="7"/>
      <c r="T165" s="7"/>
      <c r="U165" s="7"/>
      <c r="V165" s="31"/>
      <c r="W165" s="8"/>
      <c r="X165" s="8"/>
      <c r="Y165" s="83"/>
      <c r="Z165" s="83"/>
      <c r="AA165" s="83"/>
      <c r="AB165" s="80"/>
      <c r="AC165" s="7"/>
    </row>
    <row r="166" spans="1:29" x14ac:dyDescent="0.2">
      <c r="A166" s="7"/>
      <c r="B166" s="7" t="str">
        <f t="shared" si="80"/>
        <v/>
      </c>
      <c r="C166" s="10"/>
      <c r="D166" s="31"/>
      <c r="E166" s="12"/>
      <c r="F166" s="12"/>
      <c r="G166" s="7"/>
      <c r="H166" s="7"/>
      <c r="I166" s="7"/>
      <c r="J166" s="7"/>
      <c r="K166" s="37"/>
      <c r="L166" s="37"/>
      <c r="M166" s="37"/>
      <c r="N166" s="262"/>
      <c r="O166" s="37"/>
      <c r="P166" s="13"/>
      <c r="Q166" s="7"/>
      <c r="R166" s="7"/>
      <c r="S166" s="7"/>
      <c r="T166" s="7"/>
      <c r="U166" s="7"/>
      <c r="V166" s="31"/>
      <c r="W166" s="8"/>
      <c r="X166" s="8"/>
      <c r="Y166" s="83"/>
      <c r="Z166" s="83"/>
      <c r="AA166" s="83"/>
      <c r="AB166" s="80"/>
      <c r="AC166" s="7"/>
    </row>
    <row r="167" spans="1:29" ht="41.25" customHeight="1" x14ac:dyDescent="0.2">
      <c r="A167" s="7"/>
      <c r="B167" s="7" t="str">
        <f t="shared" si="80"/>
        <v/>
      </c>
      <c r="C167" s="49"/>
      <c r="D167" s="31"/>
      <c r="E167" s="12"/>
      <c r="F167" s="12"/>
      <c r="G167" s="7"/>
      <c r="H167" s="7"/>
      <c r="I167" s="7"/>
      <c r="J167" s="7"/>
      <c r="K167" s="37"/>
      <c r="L167" s="37"/>
      <c r="M167" s="37"/>
      <c r="N167" s="262"/>
      <c r="O167" s="37"/>
      <c r="P167" s="13"/>
      <c r="Q167" s="7"/>
      <c r="R167" s="7"/>
      <c r="S167" s="7"/>
      <c r="T167" s="7"/>
      <c r="U167" s="7"/>
      <c r="V167" s="31"/>
      <c r="W167" s="8"/>
      <c r="X167" s="8"/>
      <c r="Y167" s="83"/>
      <c r="Z167" s="83"/>
      <c r="AA167" s="83"/>
      <c r="AB167" s="80"/>
      <c r="AC167" s="7"/>
    </row>
    <row r="168" spans="1:29" ht="78" customHeight="1" x14ac:dyDescent="0.2">
      <c r="A168" s="7"/>
      <c r="B168" s="7" t="str">
        <f t="shared" si="80"/>
        <v/>
      </c>
      <c r="C168" s="50"/>
      <c r="D168" s="31"/>
      <c r="E168" s="12"/>
      <c r="F168" s="12"/>
      <c r="G168" s="7"/>
      <c r="H168" s="7"/>
      <c r="I168" s="7"/>
      <c r="J168" s="7"/>
      <c r="K168" s="37"/>
      <c r="L168" s="37"/>
      <c r="M168" s="37"/>
      <c r="N168" s="262"/>
      <c r="O168" s="37"/>
      <c r="P168" s="13"/>
      <c r="Q168" s="7"/>
      <c r="R168" s="7"/>
      <c r="S168" s="7"/>
      <c r="T168" s="7"/>
      <c r="U168" s="7"/>
      <c r="V168" s="31"/>
      <c r="W168" s="8"/>
      <c r="X168" s="8"/>
      <c r="Y168" s="83"/>
      <c r="Z168" s="83"/>
      <c r="AA168" s="83"/>
      <c r="AB168" s="80"/>
      <c r="AC168" s="7"/>
    </row>
    <row r="169" spans="1:29" x14ac:dyDescent="0.2">
      <c r="A169" s="7"/>
      <c r="B169" s="7" t="str">
        <f t="shared" si="80"/>
        <v/>
      </c>
      <c r="C169" s="10"/>
      <c r="D169" s="31"/>
      <c r="E169" s="12"/>
      <c r="F169" s="12"/>
      <c r="G169" s="7"/>
      <c r="H169" s="7"/>
      <c r="I169" s="7"/>
      <c r="J169" s="7"/>
      <c r="K169" s="37"/>
      <c r="L169" s="37"/>
      <c r="M169" s="37"/>
      <c r="N169" s="262"/>
      <c r="O169" s="37"/>
      <c r="P169" s="13"/>
      <c r="Q169" s="7"/>
      <c r="R169" s="12"/>
      <c r="S169" s="12"/>
      <c r="T169" s="12"/>
      <c r="U169" s="12"/>
      <c r="V169" s="31"/>
      <c r="W169" s="8"/>
      <c r="X169" s="8"/>
      <c r="Y169" s="83"/>
      <c r="Z169" s="83"/>
      <c r="AA169" s="83"/>
      <c r="AB169" s="80"/>
      <c r="AC169" s="7"/>
    </row>
    <row r="170" spans="1:29" x14ac:dyDescent="0.2">
      <c r="A170" s="7"/>
      <c r="B170" s="7" t="str">
        <f t="shared" si="80"/>
        <v/>
      </c>
      <c r="C170" s="10"/>
      <c r="D170" s="31"/>
      <c r="E170" s="12"/>
      <c r="F170" s="12"/>
      <c r="G170" s="7"/>
      <c r="H170" s="7"/>
      <c r="I170" s="7"/>
      <c r="J170" s="7"/>
      <c r="K170" s="37"/>
      <c r="L170" s="37"/>
      <c r="M170" s="37"/>
      <c r="N170" s="262"/>
      <c r="O170" s="37"/>
      <c r="P170" s="13"/>
      <c r="Q170" s="7"/>
      <c r="R170" s="7"/>
      <c r="S170" s="7"/>
      <c r="T170" s="7"/>
      <c r="U170" s="7"/>
      <c r="V170" s="31"/>
      <c r="W170" s="8"/>
      <c r="X170" s="8"/>
      <c r="Y170" s="83"/>
      <c r="Z170" s="83"/>
      <c r="AA170" s="83"/>
      <c r="AB170" s="80"/>
      <c r="AC170" s="7"/>
    </row>
    <row r="171" spans="1:29" x14ac:dyDescent="0.2">
      <c r="A171" s="7"/>
      <c r="B171" s="7" t="str">
        <f t="shared" si="80"/>
        <v/>
      </c>
      <c r="C171" s="10"/>
      <c r="D171" s="31"/>
      <c r="E171" s="12"/>
      <c r="F171" s="12"/>
      <c r="G171" s="7"/>
      <c r="H171" s="7"/>
      <c r="I171" s="7"/>
      <c r="J171" s="7"/>
      <c r="K171" s="37"/>
      <c r="L171" s="37"/>
      <c r="M171" s="37"/>
      <c r="N171" s="262"/>
      <c r="O171" s="37"/>
      <c r="P171" s="13"/>
      <c r="Q171" s="7"/>
      <c r="R171" s="7"/>
      <c r="S171" s="7"/>
      <c r="T171" s="7"/>
      <c r="U171" s="7"/>
      <c r="V171" s="31"/>
      <c r="W171" s="8"/>
      <c r="X171" s="8"/>
      <c r="Y171" s="83"/>
      <c r="Z171" s="83"/>
      <c r="AA171" s="83"/>
      <c r="AB171" s="80"/>
      <c r="AC171" s="7"/>
    </row>
    <row r="172" spans="1:29" x14ac:dyDescent="0.2">
      <c r="A172" s="7"/>
      <c r="B172" s="7" t="str">
        <f t="shared" si="80"/>
        <v/>
      </c>
      <c r="C172" s="10"/>
      <c r="D172" s="31"/>
      <c r="E172" s="12"/>
      <c r="F172" s="12"/>
      <c r="G172" s="7"/>
      <c r="H172" s="7"/>
      <c r="I172" s="7"/>
      <c r="J172" s="7"/>
      <c r="K172" s="37"/>
      <c r="L172" s="37"/>
      <c r="M172" s="37"/>
      <c r="N172" s="262"/>
      <c r="O172" s="37"/>
      <c r="P172" s="13"/>
      <c r="Q172" s="7"/>
      <c r="R172" s="7"/>
      <c r="S172" s="7"/>
      <c r="T172" s="7"/>
      <c r="U172" s="7"/>
      <c r="V172" s="31"/>
      <c r="W172" s="8"/>
      <c r="X172" s="8"/>
      <c r="Y172" s="83"/>
      <c r="Z172" s="83"/>
      <c r="AA172" s="83"/>
      <c r="AB172" s="80"/>
      <c r="AC172" s="7"/>
    </row>
    <row r="173" spans="1:29" x14ac:dyDescent="0.2">
      <c r="A173" s="7"/>
      <c r="B173" s="7" t="str">
        <f t="shared" si="80"/>
        <v/>
      </c>
      <c r="C173" s="10"/>
      <c r="D173" s="31"/>
      <c r="E173" s="12"/>
      <c r="F173" s="12"/>
      <c r="G173" s="7"/>
      <c r="H173" s="7"/>
      <c r="I173" s="7"/>
      <c r="J173" s="7"/>
      <c r="K173" s="37"/>
      <c r="L173" s="37"/>
      <c r="M173" s="37"/>
      <c r="N173" s="262"/>
      <c r="O173" s="37"/>
      <c r="P173" s="13"/>
      <c r="Q173" s="7"/>
      <c r="R173" s="7"/>
      <c r="S173" s="7"/>
      <c r="T173" s="7"/>
      <c r="U173" s="7"/>
      <c r="V173" s="31"/>
      <c r="W173" s="8"/>
      <c r="X173" s="8"/>
      <c r="Y173" s="83"/>
      <c r="Z173" s="83"/>
      <c r="AA173" s="83"/>
      <c r="AB173" s="80"/>
      <c r="AC173" s="7"/>
    </row>
    <row r="174" spans="1:29" x14ac:dyDescent="0.2">
      <c r="A174" s="7"/>
      <c r="B174" s="7" t="str">
        <f t="shared" si="80"/>
        <v/>
      </c>
      <c r="C174" s="10"/>
      <c r="D174" s="31"/>
      <c r="E174" s="12"/>
      <c r="F174" s="12"/>
      <c r="G174" s="7"/>
      <c r="H174" s="7"/>
      <c r="I174" s="7"/>
      <c r="J174" s="7"/>
      <c r="K174" s="37"/>
      <c r="L174" s="37"/>
      <c r="M174" s="37"/>
      <c r="N174" s="37"/>
      <c r="O174" s="37"/>
      <c r="P174" s="13"/>
      <c r="Q174" s="7"/>
      <c r="R174" s="7"/>
      <c r="S174" s="7"/>
      <c r="T174" s="7"/>
      <c r="U174" s="7"/>
      <c r="V174" s="31"/>
      <c r="W174" s="8"/>
      <c r="X174" s="8"/>
      <c r="Y174" s="83"/>
      <c r="Z174" s="83"/>
      <c r="AA174" s="83"/>
      <c r="AB174" s="80"/>
      <c r="AC174" s="7"/>
    </row>
    <row r="175" spans="1:29" x14ac:dyDescent="0.2">
      <c r="A175" s="7"/>
      <c r="B175" s="7" t="str">
        <f t="shared" si="80"/>
        <v/>
      </c>
      <c r="C175" s="10"/>
      <c r="D175" s="31"/>
      <c r="E175" s="12"/>
      <c r="F175" s="12"/>
      <c r="G175" s="7"/>
      <c r="H175" s="7"/>
      <c r="I175" s="7"/>
      <c r="J175" s="7"/>
      <c r="K175" s="37"/>
      <c r="L175" s="37"/>
      <c r="M175" s="37"/>
      <c r="N175" s="37"/>
      <c r="O175" s="37"/>
      <c r="P175" s="13"/>
      <c r="Q175" s="7"/>
      <c r="R175" s="7"/>
      <c r="S175" s="7"/>
      <c r="T175" s="7"/>
      <c r="U175" s="7"/>
      <c r="V175" s="31"/>
      <c r="W175" s="8"/>
      <c r="X175" s="8"/>
      <c r="Y175" s="83"/>
      <c r="Z175" s="83"/>
      <c r="AA175" s="83"/>
      <c r="AB175" s="80"/>
      <c r="AC175" s="7"/>
    </row>
    <row r="176" spans="1:29" x14ac:dyDescent="0.2">
      <c r="A176" s="7"/>
      <c r="B176" s="7" t="str">
        <f t="shared" si="80"/>
        <v/>
      </c>
      <c r="C176" s="10"/>
      <c r="D176" s="31"/>
      <c r="E176" s="12"/>
      <c r="F176" s="12"/>
      <c r="G176" s="7"/>
      <c r="H176" s="7"/>
      <c r="I176" s="7"/>
      <c r="J176" s="7"/>
      <c r="K176" s="37"/>
      <c r="L176" s="37"/>
      <c r="M176" s="37"/>
      <c r="N176" s="37"/>
      <c r="O176" s="37"/>
      <c r="P176" s="13"/>
      <c r="Q176" s="7"/>
      <c r="R176" s="7"/>
      <c r="S176" s="7"/>
      <c r="T176" s="7"/>
      <c r="U176" s="7"/>
      <c r="V176" s="31"/>
      <c r="W176" s="8"/>
      <c r="X176" s="8"/>
      <c r="Y176" s="83"/>
      <c r="Z176" s="83"/>
      <c r="AA176" s="83"/>
      <c r="AB176" s="80"/>
      <c r="AC176" s="7"/>
    </row>
    <row r="177" spans="1:29" x14ac:dyDescent="0.2">
      <c r="A177" s="7"/>
      <c r="B177" s="7" t="str">
        <f t="shared" si="80"/>
        <v/>
      </c>
      <c r="C177" s="49"/>
      <c r="D177" s="31"/>
      <c r="E177" s="12"/>
      <c r="F177" s="12"/>
      <c r="G177" s="7"/>
      <c r="H177" s="7"/>
      <c r="I177" s="7"/>
      <c r="J177" s="7"/>
      <c r="K177" s="37"/>
      <c r="L177" s="37"/>
      <c r="M177" s="37"/>
      <c r="N177" s="37"/>
      <c r="O177" s="37"/>
      <c r="P177" s="13"/>
      <c r="Q177" s="7"/>
      <c r="R177" s="7"/>
      <c r="S177" s="7"/>
      <c r="T177" s="7"/>
      <c r="U177" s="7"/>
      <c r="V177" s="31"/>
      <c r="W177" s="8"/>
      <c r="X177" s="8"/>
      <c r="Y177" s="83"/>
      <c r="Z177" s="83"/>
      <c r="AA177" s="83"/>
      <c r="AB177" s="80"/>
      <c r="AC177" s="7"/>
    </row>
    <row r="178" spans="1:29" x14ac:dyDescent="0.2">
      <c r="A178" s="7"/>
      <c r="B178" s="7" t="str">
        <f t="shared" si="80"/>
        <v/>
      </c>
      <c r="C178" s="10"/>
      <c r="D178" s="31"/>
      <c r="E178" s="12"/>
      <c r="F178" s="12"/>
      <c r="G178" s="7"/>
      <c r="H178" s="7"/>
      <c r="I178" s="7"/>
      <c r="J178" s="7"/>
      <c r="K178" s="37"/>
      <c r="L178" s="37"/>
      <c r="M178" s="37"/>
      <c r="N178" s="37"/>
      <c r="O178" s="37"/>
      <c r="P178" s="13"/>
      <c r="Q178" s="7"/>
      <c r="R178" s="7"/>
      <c r="S178" s="7"/>
      <c r="T178" s="7"/>
      <c r="U178" s="7"/>
      <c r="V178" s="31"/>
      <c r="W178" s="8"/>
      <c r="X178" s="8"/>
      <c r="Y178" s="83"/>
      <c r="Z178" s="83"/>
      <c r="AA178" s="83"/>
      <c r="AB178" s="80"/>
      <c r="AC178" s="7"/>
    </row>
    <row r="179" spans="1:29" x14ac:dyDescent="0.2">
      <c r="A179" s="7"/>
      <c r="B179" s="7" t="str">
        <f t="shared" si="80"/>
        <v/>
      </c>
      <c r="C179" s="10"/>
      <c r="D179" s="31"/>
      <c r="E179" s="12"/>
      <c r="F179" s="12"/>
      <c r="G179" s="7"/>
      <c r="H179" s="7"/>
      <c r="I179" s="7"/>
      <c r="J179" s="7"/>
      <c r="K179" s="37"/>
      <c r="L179" s="37"/>
      <c r="M179" s="37"/>
      <c r="N179" s="37"/>
      <c r="O179" s="37"/>
      <c r="P179" s="13"/>
      <c r="Q179" s="7"/>
      <c r="R179" s="7"/>
      <c r="S179" s="7"/>
      <c r="T179" s="7"/>
      <c r="U179" s="7"/>
      <c r="V179" s="31"/>
      <c r="W179" s="8"/>
      <c r="X179" s="8"/>
      <c r="Y179" s="83"/>
      <c r="Z179" s="83"/>
      <c r="AA179" s="83"/>
      <c r="AB179" s="80"/>
      <c r="AC179" s="7"/>
    </row>
    <row r="180" spans="1:29" x14ac:dyDescent="0.2">
      <c r="A180" s="7"/>
      <c r="B180" s="7" t="str">
        <f t="shared" si="80"/>
        <v/>
      </c>
      <c r="C180" s="10"/>
      <c r="D180" s="31"/>
      <c r="E180" s="12"/>
      <c r="F180" s="12"/>
      <c r="G180" s="7"/>
      <c r="H180" s="7"/>
      <c r="I180" s="7"/>
      <c r="J180" s="7"/>
      <c r="K180" s="37"/>
      <c r="L180" s="37"/>
      <c r="M180" s="37"/>
      <c r="N180" s="37"/>
      <c r="O180" s="37"/>
      <c r="P180" s="13"/>
      <c r="Q180" s="7"/>
      <c r="R180" s="12"/>
      <c r="S180" s="12"/>
      <c r="T180" s="12"/>
      <c r="U180" s="12"/>
      <c r="V180" s="31"/>
      <c r="W180" s="8"/>
      <c r="X180" s="8"/>
      <c r="Y180" s="83"/>
      <c r="Z180" s="83"/>
      <c r="AA180" s="83"/>
      <c r="AB180" s="80"/>
      <c r="AC180" s="7"/>
    </row>
    <row r="181" spans="1:29" x14ac:dyDescent="0.2">
      <c r="A181" s="7"/>
      <c r="B181" s="7" t="str">
        <f t="shared" si="80"/>
        <v/>
      </c>
      <c r="C181" s="10"/>
      <c r="D181" s="31"/>
      <c r="E181" s="12"/>
      <c r="F181" s="12"/>
      <c r="G181" s="7"/>
      <c r="H181" s="7"/>
      <c r="I181" s="7"/>
      <c r="J181" s="7"/>
      <c r="K181" s="37"/>
      <c r="L181" s="37"/>
      <c r="M181" s="37"/>
      <c r="N181" s="37"/>
      <c r="O181" s="37"/>
      <c r="P181" s="13"/>
      <c r="Q181" s="7"/>
      <c r="R181" s="7"/>
      <c r="S181" s="7"/>
      <c r="T181" s="7"/>
      <c r="U181" s="7"/>
      <c r="V181" s="31"/>
      <c r="W181" s="8"/>
      <c r="X181" s="8"/>
      <c r="Y181" s="83"/>
      <c r="Z181" s="83"/>
      <c r="AA181" s="83"/>
      <c r="AB181" s="80"/>
      <c r="AC181" s="7"/>
    </row>
    <row r="182" spans="1:29" x14ac:dyDescent="0.2">
      <c r="A182" s="7"/>
      <c r="B182" s="7" t="str">
        <f t="shared" si="80"/>
        <v/>
      </c>
      <c r="C182" s="10"/>
      <c r="D182" s="31"/>
      <c r="E182" s="12"/>
      <c r="F182" s="12"/>
      <c r="G182" s="7"/>
      <c r="H182" s="7"/>
      <c r="I182" s="7"/>
      <c r="J182" s="7"/>
      <c r="K182" s="37"/>
      <c r="L182" s="37"/>
      <c r="M182" s="37"/>
      <c r="N182" s="37"/>
      <c r="O182" s="37"/>
      <c r="P182" s="13"/>
      <c r="Q182" s="7"/>
      <c r="R182" s="7"/>
      <c r="S182" s="7"/>
      <c r="T182" s="7"/>
      <c r="U182" s="7"/>
      <c r="V182" s="31"/>
      <c r="W182" s="8"/>
      <c r="X182" s="8"/>
      <c r="Y182" s="83"/>
      <c r="Z182" s="83"/>
      <c r="AA182" s="83"/>
      <c r="AB182" s="80"/>
      <c r="AC182" s="7"/>
    </row>
    <row r="183" spans="1:29" x14ac:dyDescent="0.2">
      <c r="A183" s="7"/>
      <c r="B183" s="7" t="str">
        <f t="shared" si="80"/>
        <v/>
      </c>
      <c r="C183" s="10"/>
      <c r="D183" s="31"/>
      <c r="E183" s="12"/>
      <c r="F183" s="12"/>
      <c r="G183" s="7"/>
      <c r="H183" s="7"/>
      <c r="I183" s="7"/>
      <c r="J183" s="7"/>
      <c r="K183" s="37"/>
      <c r="L183" s="37"/>
      <c r="M183" s="37"/>
      <c r="N183" s="37"/>
      <c r="O183" s="37"/>
      <c r="P183" s="13"/>
      <c r="Q183" s="7"/>
      <c r="R183" s="7"/>
      <c r="S183" s="7"/>
      <c r="T183" s="7"/>
      <c r="U183" s="7"/>
      <c r="V183" s="31"/>
      <c r="W183" s="8"/>
      <c r="X183" s="8"/>
      <c r="Y183" s="83"/>
      <c r="Z183" s="83"/>
      <c r="AA183" s="83"/>
      <c r="AB183" s="80"/>
      <c r="AC183" s="7"/>
    </row>
    <row r="184" spans="1:29" x14ac:dyDescent="0.2">
      <c r="A184" s="7"/>
      <c r="B184" s="7" t="str">
        <f t="shared" si="80"/>
        <v/>
      </c>
      <c r="C184" s="10"/>
      <c r="D184" s="31"/>
      <c r="E184" s="12"/>
      <c r="F184" s="12"/>
      <c r="G184" s="7"/>
      <c r="H184" s="7"/>
      <c r="I184" s="7"/>
      <c r="J184" s="7"/>
      <c r="K184" s="37"/>
      <c r="L184" s="37"/>
      <c r="M184" s="37"/>
      <c r="N184" s="37"/>
      <c r="O184" s="37"/>
      <c r="P184" s="13"/>
      <c r="Q184" s="7"/>
      <c r="R184" s="7"/>
      <c r="S184" s="7"/>
      <c r="T184" s="7"/>
      <c r="U184" s="7"/>
      <c r="V184" s="31"/>
      <c r="W184" s="8"/>
      <c r="X184" s="8"/>
      <c r="Y184" s="83"/>
      <c r="Z184" s="83"/>
      <c r="AA184" s="83"/>
      <c r="AB184" s="80"/>
      <c r="AC184" s="7"/>
    </row>
    <row r="185" spans="1:29" x14ac:dyDescent="0.2">
      <c r="A185" s="7"/>
      <c r="B185" s="7" t="str">
        <f t="shared" si="80"/>
        <v/>
      </c>
      <c r="C185" s="10"/>
      <c r="D185" s="31"/>
      <c r="E185" s="12"/>
      <c r="F185" s="12"/>
      <c r="G185" s="7"/>
      <c r="H185" s="7"/>
      <c r="I185" s="7"/>
      <c r="J185" s="7"/>
      <c r="K185" s="37"/>
      <c r="L185" s="37"/>
      <c r="M185" s="37"/>
      <c r="N185" s="37"/>
      <c r="O185" s="37"/>
      <c r="P185" s="13"/>
      <c r="Q185" s="13"/>
      <c r="R185" s="13"/>
      <c r="S185" s="13"/>
      <c r="T185" s="13"/>
      <c r="U185" s="13"/>
      <c r="V185" s="31"/>
      <c r="W185" s="8"/>
      <c r="X185" s="8"/>
      <c r="Y185" s="83"/>
      <c r="Z185" s="83"/>
      <c r="AA185" s="83"/>
      <c r="AB185" s="80"/>
      <c r="AC185" s="7"/>
    </row>
    <row r="186" spans="1:29" x14ac:dyDescent="0.2">
      <c r="A186" s="7"/>
      <c r="B186" s="7" t="str">
        <f t="shared" si="80"/>
        <v/>
      </c>
      <c r="C186" s="10"/>
      <c r="D186" s="31"/>
      <c r="E186" s="12"/>
      <c r="F186" s="12"/>
      <c r="G186" s="7"/>
      <c r="H186" s="7"/>
      <c r="I186" s="7"/>
      <c r="J186" s="12"/>
      <c r="K186" s="37"/>
      <c r="L186" s="37"/>
      <c r="M186" s="37"/>
      <c r="N186" s="37"/>
      <c r="O186" s="37"/>
      <c r="P186" s="13"/>
      <c r="Q186" s="7"/>
      <c r="R186" s="7"/>
      <c r="S186" s="7"/>
      <c r="T186" s="7"/>
      <c r="U186" s="7"/>
      <c r="V186" s="31"/>
      <c r="W186" s="8"/>
      <c r="X186" s="8"/>
      <c r="Y186" s="83"/>
      <c r="Z186" s="83"/>
      <c r="AA186" s="83"/>
      <c r="AB186" s="80"/>
      <c r="AC186" s="7"/>
    </row>
    <row r="187" spans="1:29" x14ac:dyDescent="0.2">
      <c r="A187" s="7"/>
      <c r="B187" s="7" t="str">
        <f t="shared" si="80"/>
        <v/>
      </c>
      <c r="C187" s="10"/>
      <c r="D187" s="31"/>
      <c r="E187" s="12"/>
      <c r="F187" s="12"/>
      <c r="G187" s="7"/>
      <c r="H187" s="7"/>
      <c r="I187" s="7"/>
      <c r="J187" s="7"/>
      <c r="K187" s="37"/>
      <c r="L187" s="37"/>
      <c r="M187" s="37"/>
      <c r="N187" s="37"/>
      <c r="O187" s="37"/>
      <c r="P187" s="13"/>
      <c r="Q187" s="7"/>
      <c r="R187" s="7"/>
      <c r="S187" s="7"/>
      <c r="T187" s="7"/>
      <c r="U187" s="7"/>
      <c r="V187" s="31"/>
      <c r="W187" s="8"/>
      <c r="X187" s="8"/>
      <c r="Y187" s="83"/>
      <c r="Z187" s="83"/>
      <c r="AA187" s="83"/>
      <c r="AB187" s="80"/>
      <c r="AC187" s="7"/>
    </row>
    <row r="188" spans="1:29" x14ac:dyDescent="0.2">
      <c r="A188" s="7"/>
      <c r="B188" s="7" t="str">
        <f t="shared" si="80"/>
        <v/>
      </c>
      <c r="C188" s="10"/>
      <c r="D188" s="31"/>
      <c r="E188" s="12"/>
      <c r="F188" s="12"/>
      <c r="G188" s="7"/>
      <c r="H188" s="7"/>
      <c r="I188" s="7"/>
      <c r="J188" s="7"/>
      <c r="K188" s="37"/>
      <c r="L188" s="37"/>
      <c r="M188" s="37"/>
      <c r="N188" s="37"/>
      <c r="O188" s="37"/>
      <c r="P188" s="13"/>
      <c r="Q188" s="7"/>
      <c r="R188" s="7"/>
      <c r="S188" s="7"/>
      <c r="T188" s="7"/>
      <c r="U188" s="7"/>
      <c r="V188" s="31"/>
      <c r="W188" s="8"/>
      <c r="X188" s="8"/>
      <c r="Y188" s="83"/>
      <c r="Z188" s="83"/>
      <c r="AA188" s="83"/>
      <c r="AB188" s="80"/>
      <c r="AC188" s="7"/>
    </row>
    <row r="189" spans="1:29" x14ac:dyDescent="0.2">
      <c r="A189" s="7"/>
      <c r="B189" s="7" t="str">
        <f t="shared" si="80"/>
        <v/>
      </c>
      <c r="C189" s="10"/>
      <c r="D189" s="31"/>
      <c r="E189" s="12"/>
      <c r="F189" s="12"/>
      <c r="G189" s="7"/>
      <c r="H189" s="7"/>
      <c r="I189" s="7"/>
      <c r="J189" s="7"/>
      <c r="K189" s="37"/>
      <c r="L189" s="37"/>
      <c r="M189" s="37"/>
      <c r="N189" s="37"/>
      <c r="O189" s="37"/>
      <c r="P189" s="13"/>
      <c r="Q189" s="7"/>
      <c r="R189" s="7"/>
      <c r="S189" s="7"/>
      <c r="T189" s="7"/>
      <c r="U189" s="7"/>
      <c r="V189" s="31"/>
      <c r="W189" s="8"/>
      <c r="X189" s="8"/>
      <c r="Y189" s="83"/>
      <c r="Z189" s="83"/>
      <c r="AA189" s="83"/>
      <c r="AB189" s="80"/>
      <c r="AC189" s="7"/>
    </row>
    <row r="190" spans="1:29" x14ac:dyDescent="0.2">
      <c r="A190" s="7"/>
      <c r="B190" s="7" t="str">
        <f t="shared" si="80"/>
        <v/>
      </c>
      <c r="C190" s="10"/>
      <c r="D190" s="31"/>
      <c r="E190" s="12"/>
      <c r="F190" s="12"/>
      <c r="G190" s="7"/>
      <c r="H190" s="7"/>
      <c r="I190" s="7"/>
      <c r="J190" s="7"/>
      <c r="K190" s="37"/>
      <c r="L190" s="37"/>
      <c r="M190" s="37"/>
      <c r="N190" s="37"/>
      <c r="O190" s="37"/>
      <c r="P190" s="13"/>
      <c r="Q190" s="7"/>
      <c r="R190" s="12"/>
      <c r="S190" s="12"/>
      <c r="T190" s="12"/>
      <c r="U190" s="12"/>
      <c r="V190" s="31"/>
      <c r="W190" s="8"/>
      <c r="X190" s="8"/>
      <c r="Y190" s="83"/>
      <c r="Z190" s="83"/>
      <c r="AA190" s="83"/>
      <c r="AB190" s="80"/>
      <c r="AC190" s="7"/>
    </row>
    <row r="191" spans="1:29" x14ac:dyDescent="0.2">
      <c r="A191" s="7"/>
      <c r="B191" s="7" t="str">
        <f t="shared" si="80"/>
        <v/>
      </c>
      <c r="C191" s="10"/>
      <c r="D191" s="31"/>
      <c r="E191" s="12"/>
      <c r="F191" s="12"/>
      <c r="G191" s="7"/>
      <c r="H191" s="7"/>
      <c r="I191" s="7"/>
      <c r="J191" s="7"/>
      <c r="K191" s="37"/>
      <c r="L191" s="37"/>
      <c r="M191" s="37"/>
      <c r="N191" s="37"/>
      <c r="O191" s="37"/>
      <c r="P191" s="13"/>
      <c r="Q191" s="7"/>
      <c r="R191" s="7"/>
      <c r="S191" s="7"/>
      <c r="T191" s="7"/>
      <c r="U191" s="7"/>
      <c r="V191" s="31"/>
      <c r="W191" s="8"/>
      <c r="X191" s="8"/>
      <c r="Y191" s="83"/>
      <c r="Z191" s="83"/>
      <c r="AA191" s="83"/>
      <c r="AB191" s="80"/>
      <c r="AC191" s="7"/>
    </row>
    <row r="192" spans="1:29" x14ac:dyDescent="0.2">
      <c r="A192" s="7"/>
      <c r="B192" s="7" t="str">
        <f t="shared" si="80"/>
        <v/>
      </c>
      <c r="C192" s="10"/>
      <c r="D192" s="31"/>
      <c r="E192" s="12"/>
      <c r="F192" s="12"/>
      <c r="G192" s="7"/>
      <c r="H192" s="7"/>
      <c r="I192" s="7"/>
      <c r="J192" s="7"/>
      <c r="K192" s="37"/>
      <c r="L192" s="37"/>
      <c r="M192" s="37"/>
      <c r="N192" s="37"/>
      <c r="O192" s="37"/>
      <c r="P192" s="13"/>
      <c r="Q192" s="7"/>
      <c r="R192" s="7"/>
      <c r="S192" s="7"/>
      <c r="T192" s="7"/>
      <c r="U192" s="7"/>
      <c r="V192" s="31"/>
      <c r="W192" s="8"/>
      <c r="X192" s="8"/>
      <c r="Y192" s="83"/>
      <c r="Z192" s="83"/>
      <c r="AA192" s="83"/>
      <c r="AB192" s="80"/>
      <c r="AC192" s="7"/>
    </row>
    <row r="193" spans="1:29" x14ac:dyDescent="0.2">
      <c r="A193" s="7"/>
      <c r="B193" s="7" t="str">
        <f t="shared" si="80"/>
        <v/>
      </c>
      <c r="C193" s="10"/>
      <c r="D193" s="31"/>
      <c r="E193" s="12"/>
      <c r="F193" s="12"/>
      <c r="G193" s="7"/>
      <c r="H193" s="7"/>
      <c r="I193" s="7"/>
      <c r="J193" s="7"/>
      <c r="K193" s="37"/>
      <c r="L193" s="37"/>
      <c r="M193" s="37"/>
      <c r="N193" s="37"/>
      <c r="O193" s="37"/>
      <c r="P193" s="13"/>
      <c r="Q193" s="7"/>
      <c r="R193" s="7"/>
      <c r="S193" s="7"/>
      <c r="T193" s="7"/>
      <c r="U193" s="7"/>
      <c r="V193" s="31"/>
      <c r="W193" s="8"/>
      <c r="X193" s="8"/>
      <c r="Y193" s="83"/>
      <c r="Z193" s="83"/>
      <c r="AA193" s="83"/>
      <c r="AB193" s="80"/>
      <c r="AC193" s="7"/>
    </row>
    <row r="194" spans="1:29" x14ac:dyDescent="0.2">
      <c r="A194" s="7"/>
      <c r="B194" s="7" t="str">
        <f t="shared" si="80"/>
        <v/>
      </c>
      <c r="C194" s="10"/>
      <c r="D194" s="31"/>
      <c r="E194" s="12"/>
      <c r="F194" s="12"/>
      <c r="G194" s="7"/>
      <c r="H194" s="7"/>
      <c r="I194" s="7"/>
      <c r="J194" s="7"/>
      <c r="K194" s="37"/>
      <c r="L194" s="37"/>
      <c r="M194" s="37"/>
      <c r="N194" s="37"/>
      <c r="O194" s="37"/>
      <c r="P194" s="13"/>
      <c r="Q194" s="7"/>
      <c r="R194" s="7"/>
      <c r="S194" s="7"/>
      <c r="T194" s="7"/>
      <c r="U194" s="7"/>
      <c r="V194" s="31"/>
      <c r="W194" s="8"/>
      <c r="X194" s="8"/>
      <c r="Y194" s="83"/>
      <c r="Z194" s="83"/>
      <c r="AA194" s="83"/>
      <c r="AB194" s="80"/>
      <c r="AC194" s="7"/>
    </row>
    <row r="195" spans="1:29" x14ac:dyDescent="0.2">
      <c r="A195" s="7"/>
      <c r="B195" s="7" t="str">
        <f t="shared" si="80"/>
        <v/>
      </c>
      <c r="C195" s="10"/>
      <c r="D195" s="31"/>
      <c r="E195" s="12"/>
      <c r="F195" s="12"/>
      <c r="G195" s="7"/>
      <c r="H195" s="7"/>
      <c r="I195" s="7"/>
      <c r="J195" s="7"/>
      <c r="K195" s="37"/>
      <c r="L195" s="37"/>
      <c r="M195" s="37"/>
      <c r="N195" s="37"/>
      <c r="O195" s="37"/>
      <c r="P195" s="13"/>
      <c r="Q195" s="7"/>
      <c r="R195" s="7"/>
      <c r="S195" s="7"/>
      <c r="T195" s="7"/>
      <c r="U195" s="7"/>
      <c r="V195" s="31"/>
      <c r="W195" s="8"/>
      <c r="X195" s="8"/>
      <c r="Y195" s="83"/>
      <c r="Z195" s="83"/>
      <c r="AA195" s="83"/>
      <c r="AB195" s="80"/>
      <c r="AC195" s="7"/>
    </row>
    <row r="196" spans="1:29" x14ac:dyDescent="0.2">
      <c r="A196" s="7"/>
      <c r="B196" s="7" t="str">
        <f t="shared" si="80"/>
        <v/>
      </c>
      <c r="C196" s="10"/>
      <c r="D196" s="31"/>
      <c r="E196" s="12"/>
      <c r="F196" s="12"/>
      <c r="G196" s="7"/>
      <c r="H196" s="7"/>
      <c r="I196" s="7"/>
      <c r="J196" s="7"/>
      <c r="K196" s="37"/>
      <c r="L196" s="37"/>
      <c r="M196" s="37"/>
      <c r="N196" s="37"/>
      <c r="O196" s="37"/>
      <c r="P196" s="13"/>
      <c r="Q196" s="7"/>
      <c r="R196" s="7"/>
      <c r="S196" s="7"/>
      <c r="T196" s="7"/>
      <c r="U196" s="7"/>
      <c r="V196" s="31"/>
      <c r="W196" s="8"/>
      <c r="X196" s="8"/>
      <c r="Y196" s="83"/>
      <c r="Z196" s="83"/>
      <c r="AA196" s="83"/>
      <c r="AB196" s="80"/>
      <c r="AC196" s="7"/>
    </row>
    <row r="197" spans="1:29" x14ac:dyDescent="0.2">
      <c r="A197" s="7"/>
      <c r="B197" s="7" t="str">
        <f t="shared" si="80"/>
        <v/>
      </c>
      <c r="C197" s="10"/>
      <c r="D197" s="31"/>
      <c r="E197" s="12"/>
      <c r="F197" s="12"/>
      <c r="G197" s="7"/>
      <c r="H197" s="7"/>
      <c r="I197" s="7"/>
      <c r="J197" s="7"/>
      <c r="K197" s="37"/>
      <c r="L197" s="37"/>
      <c r="M197" s="37"/>
      <c r="N197" s="37"/>
      <c r="O197" s="37"/>
      <c r="P197" s="13"/>
      <c r="Q197" s="7"/>
      <c r="R197" s="7"/>
      <c r="S197" s="7"/>
      <c r="T197" s="7"/>
      <c r="U197" s="7"/>
      <c r="V197" s="31"/>
      <c r="W197" s="8"/>
      <c r="X197" s="8"/>
      <c r="Y197" s="83"/>
      <c r="Z197" s="83"/>
      <c r="AA197" s="83"/>
      <c r="AB197" s="80"/>
      <c r="AC197" s="7"/>
    </row>
    <row r="198" spans="1:29" x14ac:dyDescent="0.2">
      <c r="A198" s="7"/>
      <c r="B198" s="7" t="str">
        <f t="shared" si="80"/>
        <v/>
      </c>
      <c r="C198" s="10"/>
      <c r="D198" s="31"/>
      <c r="E198" s="12"/>
      <c r="F198" s="12"/>
      <c r="G198" s="7"/>
      <c r="H198" s="7"/>
      <c r="I198" s="7"/>
      <c r="J198" s="7"/>
      <c r="K198" s="37"/>
      <c r="L198" s="37"/>
      <c r="M198" s="37"/>
      <c r="N198" s="37"/>
      <c r="O198" s="37"/>
      <c r="P198" s="13"/>
      <c r="Q198" s="7"/>
      <c r="R198" s="7"/>
      <c r="S198" s="7"/>
      <c r="T198" s="7"/>
      <c r="U198" s="7"/>
      <c r="V198" s="31"/>
      <c r="W198" s="8"/>
      <c r="X198" s="8"/>
      <c r="Y198" s="83"/>
      <c r="Z198" s="83"/>
      <c r="AA198" s="83"/>
      <c r="AB198" s="80"/>
      <c r="AC198" s="7"/>
    </row>
    <row r="199" spans="1:29" x14ac:dyDescent="0.2">
      <c r="A199" s="7"/>
      <c r="B199" s="7" t="str">
        <f t="shared" si="80"/>
        <v/>
      </c>
      <c r="C199" s="10"/>
      <c r="D199" s="31"/>
      <c r="E199" s="12"/>
      <c r="F199" s="12"/>
      <c r="G199" s="7"/>
      <c r="H199" s="7"/>
      <c r="I199" s="7"/>
      <c r="J199" s="7"/>
      <c r="K199" s="37"/>
      <c r="L199" s="37"/>
      <c r="M199" s="37"/>
      <c r="N199" s="37"/>
      <c r="O199" s="37"/>
      <c r="P199" s="13"/>
      <c r="Q199" s="7"/>
      <c r="R199" s="7"/>
      <c r="S199" s="7"/>
      <c r="T199" s="7"/>
      <c r="U199" s="7"/>
      <c r="V199" s="31"/>
      <c r="W199" s="8"/>
      <c r="X199" s="8"/>
      <c r="Y199" s="83"/>
      <c r="Z199" s="83"/>
      <c r="AA199" s="83"/>
      <c r="AB199" s="80"/>
      <c r="AC199" s="7"/>
    </row>
    <row r="200" spans="1:29" x14ac:dyDescent="0.2">
      <c r="A200" s="7"/>
      <c r="B200" s="7" t="str">
        <f t="shared" si="80"/>
        <v/>
      </c>
      <c r="C200" s="10"/>
      <c r="D200" s="31"/>
      <c r="E200" s="12"/>
      <c r="F200" s="12"/>
      <c r="G200" s="7"/>
      <c r="H200" s="7"/>
      <c r="I200" s="7"/>
      <c r="J200" s="7"/>
      <c r="K200" s="37"/>
      <c r="L200" s="37"/>
      <c r="M200" s="37"/>
      <c r="N200" s="37"/>
      <c r="O200" s="37"/>
      <c r="P200" s="13"/>
      <c r="Q200" s="7"/>
      <c r="R200" s="7"/>
      <c r="S200" s="7"/>
      <c r="T200" s="7"/>
      <c r="U200" s="7"/>
      <c r="V200" s="31"/>
      <c r="W200" s="8"/>
      <c r="X200" s="8"/>
      <c r="Y200" s="83"/>
      <c r="Z200" s="83"/>
      <c r="AA200" s="83"/>
      <c r="AB200" s="80"/>
      <c r="AC200" s="7"/>
    </row>
    <row r="201" spans="1:29" x14ac:dyDescent="0.2">
      <c r="A201" s="7"/>
      <c r="B201" s="7" t="str">
        <f t="shared" si="80"/>
        <v/>
      </c>
      <c r="C201" s="10"/>
      <c r="D201" s="31"/>
      <c r="E201" s="12"/>
      <c r="F201" s="12"/>
      <c r="G201" s="7"/>
      <c r="H201" s="7"/>
      <c r="I201" s="7"/>
      <c r="J201" s="7"/>
      <c r="K201" s="37"/>
      <c r="L201" s="37"/>
      <c r="M201" s="37"/>
      <c r="N201" s="37"/>
      <c r="O201" s="37"/>
      <c r="P201" s="13"/>
      <c r="Q201" s="7"/>
      <c r="R201" s="7"/>
      <c r="S201" s="7"/>
      <c r="T201" s="7"/>
      <c r="U201" s="7"/>
      <c r="V201" s="31"/>
      <c r="W201" s="8"/>
      <c r="X201" s="8"/>
      <c r="Y201" s="83"/>
      <c r="Z201" s="83"/>
      <c r="AA201" s="83"/>
      <c r="AB201" s="80"/>
      <c r="AC201" s="7"/>
    </row>
    <row r="202" spans="1:29" x14ac:dyDescent="0.2">
      <c r="A202" s="7"/>
      <c r="B202" s="7" t="str">
        <f t="shared" si="80"/>
        <v/>
      </c>
      <c r="C202" s="10"/>
      <c r="D202" s="31"/>
      <c r="E202" s="12"/>
      <c r="F202" s="12"/>
      <c r="G202" s="7"/>
      <c r="H202" s="7"/>
      <c r="I202" s="7"/>
      <c r="J202" s="7"/>
      <c r="K202" s="37"/>
      <c r="L202" s="37"/>
      <c r="M202" s="37"/>
      <c r="N202" s="37"/>
      <c r="O202" s="37"/>
      <c r="P202" s="13"/>
      <c r="Q202" s="7"/>
      <c r="R202" s="7"/>
      <c r="S202" s="7"/>
      <c r="T202" s="7"/>
      <c r="U202" s="7"/>
      <c r="V202" s="31"/>
      <c r="W202" s="8"/>
      <c r="X202" s="8"/>
      <c r="Y202" s="83"/>
      <c r="Z202" s="83"/>
      <c r="AA202" s="83"/>
      <c r="AB202" s="80"/>
      <c r="AC202" s="7"/>
    </row>
    <row r="203" spans="1:29" x14ac:dyDescent="0.2">
      <c r="A203" s="7"/>
      <c r="B203" s="7" t="str">
        <f t="shared" si="80"/>
        <v/>
      </c>
      <c r="C203" s="10"/>
      <c r="D203" s="31"/>
      <c r="E203" s="12"/>
      <c r="F203" s="12"/>
      <c r="G203" s="7"/>
      <c r="H203" s="7"/>
      <c r="I203" s="7"/>
      <c r="J203" s="7"/>
      <c r="K203" s="37"/>
      <c r="L203" s="37"/>
      <c r="M203" s="37"/>
      <c r="N203" s="37"/>
      <c r="O203" s="37"/>
      <c r="P203" s="13"/>
      <c r="Q203" s="7"/>
      <c r="R203" s="7"/>
      <c r="S203" s="7"/>
      <c r="T203" s="7"/>
      <c r="U203" s="7"/>
      <c r="V203" s="31"/>
      <c r="W203" s="8"/>
      <c r="X203" s="8"/>
      <c r="Y203" s="83"/>
      <c r="Z203" s="83"/>
      <c r="AA203" s="83"/>
      <c r="AB203" s="80"/>
      <c r="AC203" s="7"/>
    </row>
    <row r="204" spans="1:29" x14ac:dyDescent="0.2">
      <c r="A204" s="7"/>
      <c r="B204" s="7" t="str">
        <f t="shared" si="80"/>
        <v/>
      </c>
      <c r="C204" s="10"/>
      <c r="D204" s="31"/>
      <c r="E204" s="12"/>
      <c r="F204" s="12"/>
      <c r="G204" s="7"/>
      <c r="H204" s="7"/>
      <c r="I204" s="7"/>
      <c r="J204" s="12"/>
      <c r="K204" s="37"/>
      <c r="L204" s="37"/>
      <c r="M204" s="37"/>
      <c r="N204" s="37"/>
      <c r="O204" s="37"/>
      <c r="P204" s="13"/>
      <c r="Q204" s="7"/>
      <c r="R204" s="7"/>
      <c r="S204" s="7"/>
      <c r="T204" s="7"/>
      <c r="U204" s="7"/>
      <c r="V204" s="31"/>
      <c r="W204" s="8"/>
      <c r="X204" s="8"/>
      <c r="Y204" s="83"/>
      <c r="Z204" s="83"/>
      <c r="AA204" s="83"/>
      <c r="AB204" s="80"/>
      <c r="AC204" s="7"/>
    </row>
    <row r="205" spans="1:29" x14ac:dyDescent="0.2">
      <c r="A205" s="7"/>
      <c r="B205" s="7" t="str">
        <f t="shared" si="80"/>
        <v/>
      </c>
      <c r="C205" s="10"/>
      <c r="D205" s="31"/>
      <c r="E205" s="12"/>
      <c r="F205" s="12"/>
      <c r="G205" s="7"/>
      <c r="H205" s="7"/>
      <c r="I205" s="7"/>
      <c r="J205" s="7"/>
      <c r="K205" s="37"/>
      <c r="L205" s="37"/>
      <c r="M205" s="37"/>
      <c r="N205" s="37"/>
      <c r="O205" s="37"/>
      <c r="P205" s="13"/>
      <c r="Q205" s="7"/>
      <c r="R205" s="7"/>
      <c r="S205" s="7"/>
      <c r="T205" s="7"/>
      <c r="U205" s="7"/>
      <c r="V205" s="31"/>
      <c r="W205" s="8"/>
      <c r="X205" s="8"/>
      <c r="Y205" s="83"/>
      <c r="Z205" s="83"/>
      <c r="AA205" s="83"/>
      <c r="AB205" s="80"/>
      <c r="AC205" s="7"/>
    </row>
    <row r="206" spans="1:29" x14ac:dyDescent="0.2">
      <c r="A206" s="7"/>
      <c r="B206" s="7" t="str">
        <f t="shared" si="80"/>
        <v/>
      </c>
      <c r="C206" s="10"/>
      <c r="D206" s="31"/>
      <c r="E206" s="12"/>
      <c r="F206" s="12"/>
      <c r="G206" s="7"/>
      <c r="H206" s="7"/>
      <c r="I206" s="7"/>
      <c r="J206" s="12"/>
      <c r="K206" s="37"/>
      <c r="L206" s="37"/>
      <c r="M206" s="37"/>
      <c r="N206" s="37"/>
      <c r="O206" s="37"/>
      <c r="P206" s="13"/>
      <c r="Q206" s="7"/>
      <c r="R206" s="7"/>
      <c r="S206" s="7"/>
      <c r="T206" s="7"/>
      <c r="U206" s="7"/>
      <c r="V206" s="31"/>
      <c r="W206" s="8"/>
      <c r="X206" s="8"/>
      <c r="Y206" s="83"/>
      <c r="Z206" s="83"/>
      <c r="AA206" s="83"/>
      <c r="AB206" s="80"/>
      <c r="AC206" s="7"/>
    </row>
    <row r="207" spans="1:29" x14ac:dyDescent="0.2">
      <c r="A207" s="7"/>
      <c r="B207" s="7" t="str">
        <f t="shared" si="80"/>
        <v/>
      </c>
      <c r="C207" s="10"/>
      <c r="D207" s="31"/>
      <c r="E207" s="12"/>
      <c r="F207" s="12"/>
      <c r="G207" s="7"/>
      <c r="H207" s="7"/>
      <c r="I207" s="7"/>
      <c r="J207" s="7"/>
      <c r="K207" s="37"/>
      <c r="L207" s="37"/>
      <c r="M207" s="37"/>
      <c r="N207" s="37"/>
      <c r="O207" s="37"/>
      <c r="P207" s="13"/>
      <c r="Q207" s="7"/>
      <c r="R207" s="7"/>
      <c r="S207" s="7"/>
      <c r="T207" s="7"/>
      <c r="U207" s="7"/>
      <c r="V207" s="31"/>
      <c r="W207" s="8"/>
      <c r="X207" s="8"/>
      <c r="Y207" s="83"/>
      <c r="Z207" s="83"/>
      <c r="AA207" s="83"/>
      <c r="AB207" s="80"/>
      <c r="AC207" s="7"/>
    </row>
    <row r="208" spans="1:29" x14ac:dyDescent="0.2">
      <c r="A208" s="7"/>
      <c r="B208" s="7" t="str">
        <f t="shared" si="80"/>
        <v/>
      </c>
      <c r="C208" s="10"/>
      <c r="D208" s="31"/>
      <c r="E208" s="12"/>
      <c r="F208" s="12"/>
      <c r="G208" s="7"/>
      <c r="H208" s="7"/>
      <c r="I208" s="7"/>
      <c r="J208" s="7"/>
      <c r="K208" s="37"/>
      <c r="L208" s="37"/>
      <c r="M208" s="37"/>
      <c r="N208" s="37"/>
      <c r="O208" s="37"/>
      <c r="P208" s="13"/>
      <c r="Q208" s="7"/>
      <c r="R208" s="7"/>
      <c r="S208" s="7"/>
      <c r="T208" s="7"/>
      <c r="U208" s="7"/>
      <c r="V208" s="31"/>
      <c r="W208" s="8"/>
      <c r="X208" s="8"/>
      <c r="Y208" s="83"/>
      <c r="Z208" s="83"/>
      <c r="AA208" s="83"/>
      <c r="AB208" s="80"/>
      <c r="AC208" s="7"/>
    </row>
    <row r="209" spans="1:29" x14ac:dyDescent="0.2">
      <c r="A209" s="7"/>
      <c r="B209" s="7" t="str">
        <f t="shared" si="80"/>
        <v/>
      </c>
      <c r="C209" s="10"/>
      <c r="D209" s="31"/>
      <c r="E209" s="12"/>
      <c r="F209" s="12"/>
      <c r="G209" s="7"/>
      <c r="H209" s="7"/>
      <c r="I209" s="7"/>
      <c r="J209" s="7"/>
      <c r="K209" s="37"/>
      <c r="L209" s="37"/>
      <c r="M209" s="37"/>
      <c r="N209" s="37"/>
      <c r="O209" s="37"/>
      <c r="P209" s="13"/>
      <c r="Q209" s="7"/>
      <c r="R209" s="7"/>
      <c r="S209" s="7"/>
      <c r="T209" s="7"/>
      <c r="U209" s="7"/>
      <c r="V209" s="31"/>
      <c r="W209" s="8"/>
      <c r="X209" s="8"/>
      <c r="Y209" s="83"/>
      <c r="Z209" s="83"/>
      <c r="AA209" s="83"/>
      <c r="AB209" s="80"/>
      <c r="AC209" s="7"/>
    </row>
    <row r="210" spans="1:29" x14ac:dyDescent="0.2">
      <c r="A210" s="7"/>
      <c r="B210" s="7" t="str">
        <f t="shared" si="80"/>
        <v/>
      </c>
      <c r="C210" s="10"/>
      <c r="D210" s="31"/>
      <c r="E210" s="12"/>
      <c r="F210" s="12"/>
      <c r="G210" s="7"/>
      <c r="I210" s="23"/>
      <c r="J210" s="7"/>
      <c r="K210" s="37"/>
      <c r="L210" s="37"/>
      <c r="M210" s="37"/>
      <c r="N210" s="37"/>
      <c r="O210" s="37"/>
      <c r="P210" s="13"/>
      <c r="Q210" s="7"/>
      <c r="R210" s="7"/>
      <c r="S210" s="7"/>
      <c r="T210" s="7"/>
      <c r="U210" s="7"/>
      <c r="V210" s="31"/>
      <c r="W210" s="8"/>
      <c r="X210" s="8"/>
      <c r="Y210" s="83"/>
      <c r="Z210" s="83"/>
      <c r="AA210" s="83"/>
      <c r="AB210" s="80"/>
      <c r="AC210" s="7"/>
    </row>
    <row r="211" spans="1:29" x14ac:dyDescent="0.2">
      <c r="A211" s="7"/>
      <c r="B211" s="7" t="str">
        <f t="shared" ref="B211:B274" si="96">LEFT(C211,12)</f>
        <v/>
      </c>
      <c r="C211" s="10"/>
      <c r="D211" s="31"/>
      <c r="E211" s="12"/>
      <c r="F211" s="12"/>
      <c r="G211" s="7"/>
      <c r="H211" s="7"/>
      <c r="I211" s="7"/>
      <c r="J211" s="7"/>
      <c r="K211" s="37"/>
      <c r="L211" s="37"/>
      <c r="M211" s="37"/>
      <c r="N211" s="37"/>
      <c r="O211" s="37"/>
      <c r="P211" s="13"/>
      <c r="Q211" s="7"/>
      <c r="R211" s="7"/>
      <c r="S211" s="7"/>
      <c r="T211" s="7"/>
      <c r="U211" s="7"/>
      <c r="V211" s="31"/>
      <c r="W211" s="8"/>
      <c r="X211" s="8"/>
      <c r="Y211" s="83"/>
      <c r="Z211" s="83"/>
      <c r="AA211" s="83"/>
      <c r="AB211" s="80"/>
      <c r="AC211" s="7"/>
    </row>
    <row r="212" spans="1:29" x14ac:dyDescent="0.2">
      <c r="A212" s="7"/>
      <c r="B212" s="7" t="str">
        <f t="shared" si="96"/>
        <v/>
      </c>
      <c r="C212" s="10"/>
      <c r="D212" s="31"/>
      <c r="E212" s="12"/>
      <c r="F212" s="12"/>
      <c r="G212" s="7"/>
      <c r="H212" s="7"/>
      <c r="I212" s="7"/>
      <c r="J212" s="7"/>
      <c r="K212" s="37"/>
      <c r="L212" s="37"/>
      <c r="M212" s="37"/>
      <c r="N212" s="37"/>
      <c r="O212" s="37"/>
      <c r="P212" s="13"/>
      <c r="Q212" s="7"/>
      <c r="R212" s="7"/>
      <c r="S212" s="7"/>
      <c r="T212" s="7"/>
      <c r="U212" s="7"/>
      <c r="V212" s="31"/>
      <c r="W212" s="8"/>
      <c r="X212" s="8"/>
      <c r="Y212" s="83"/>
      <c r="Z212" s="83"/>
      <c r="AA212" s="83"/>
      <c r="AB212" s="80"/>
      <c r="AC212" s="7"/>
    </row>
    <row r="213" spans="1:29" x14ac:dyDescent="0.2">
      <c r="A213" s="7"/>
      <c r="B213" s="7" t="str">
        <f t="shared" si="96"/>
        <v/>
      </c>
      <c r="C213" s="10"/>
      <c r="D213" s="31"/>
      <c r="E213" s="12"/>
      <c r="F213" s="12"/>
      <c r="G213" s="7"/>
      <c r="H213" s="7"/>
      <c r="I213" s="7"/>
      <c r="J213" s="7"/>
      <c r="K213" s="37"/>
      <c r="L213" s="37"/>
      <c r="M213" s="37"/>
      <c r="N213" s="37"/>
      <c r="O213" s="37"/>
      <c r="P213" s="13"/>
      <c r="Q213" s="7"/>
      <c r="R213" s="7"/>
      <c r="S213" s="7"/>
      <c r="T213" s="7"/>
      <c r="U213" s="7"/>
      <c r="V213" s="31"/>
      <c r="W213" s="8"/>
      <c r="X213" s="8"/>
      <c r="Y213" s="83"/>
      <c r="Z213" s="83"/>
      <c r="AA213" s="83"/>
      <c r="AB213" s="80"/>
      <c r="AC213" s="7"/>
    </row>
    <row r="214" spans="1:29" x14ac:dyDescent="0.2">
      <c r="A214" s="7"/>
      <c r="B214" s="7" t="str">
        <f t="shared" si="96"/>
        <v/>
      </c>
      <c r="C214" s="10"/>
      <c r="D214" s="31"/>
      <c r="E214" s="12"/>
      <c r="F214" s="12"/>
      <c r="G214" s="7"/>
      <c r="H214" s="7"/>
      <c r="I214" s="7"/>
      <c r="J214" s="7"/>
      <c r="K214" s="37"/>
      <c r="L214" s="37"/>
      <c r="M214" s="37"/>
      <c r="N214" s="37"/>
      <c r="O214" s="37"/>
      <c r="P214" s="13"/>
      <c r="Q214" s="7"/>
      <c r="R214" s="7"/>
      <c r="S214" s="7"/>
      <c r="T214" s="7"/>
      <c r="U214" s="7"/>
      <c r="V214" s="31"/>
      <c r="W214" s="8"/>
      <c r="X214" s="8"/>
      <c r="Y214" s="83"/>
      <c r="Z214" s="83"/>
      <c r="AA214" s="83"/>
      <c r="AB214" s="80"/>
      <c r="AC214" s="7"/>
    </row>
    <row r="215" spans="1:29" x14ac:dyDescent="0.2">
      <c r="A215" s="7"/>
      <c r="B215" s="7" t="str">
        <f t="shared" si="96"/>
        <v/>
      </c>
      <c r="C215" s="10"/>
      <c r="D215" s="31"/>
      <c r="E215" s="12"/>
      <c r="F215" s="12"/>
      <c r="G215" s="7"/>
      <c r="H215" s="7"/>
      <c r="I215" s="7"/>
      <c r="J215" s="7"/>
      <c r="K215" s="37"/>
      <c r="L215" s="37"/>
      <c r="M215" s="37"/>
      <c r="N215" s="37"/>
      <c r="O215" s="37"/>
      <c r="P215" s="13"/>
      <c r="Q215" s="7"/>
      <c r="R215" s="7"/>
      <c r="S215" s="7"/>
      <c r="T215" s="7"/>
      <c r="U215" s="7"/>
      <c r="V215" s="31"/>
      <c r="W215" s="8"/>
      <c r="X215" s="8"/>
      <c r="Y215" s="83"/>
      <c r="Z215" s="83"/>
      <c r="AA215" s="83"/>
      <c r="AB215" s="80"/>
      <c r="AC215" s="7"/>
    </row>
    <row r="216" spans="1:29" x14ac:dyDescent="0.2">
      <c r="A216" s="7"/>
      <c r="B216" s="7" t="str">
        <f t="shared" si="96"/>
        <v/>
      </c>
      <c r="C216" s="10"/>
      <c r="D216" s="31"/>
      <c r="E216" s="12"/>
      <c r="F216" s="12"/>
      <c r="G216" s="7"/>
      <c r="H216" s="7"/>
      <c r="I216" s="7"/>
      <c r="J216" s="7"/>
      <c r="K216" s="37"/>
      <c r="L216" s="37"/>
      <c r="M216" s="37"/>
      <c r="N216" s="37"/>
      <c r="O216" s="37"/>
      <c r="P216" s="13"/>
      <c r="Q216" s="7"/>
      <c r="R216" s="7"/>
      <c r="S216" s="7"/>
      <c r="T216" s="7"/>
      <c r="U216" s="7"/>
      <c r="V216" s="31"/>
      <c r="W216" s="8"/>
      <c r="X216" s="8"/>
      <c r="Y216" s="83"/>
      <c r="Z216" s="83"/>
      <c r="AA216" s="83"/>
      <c r="AB216" s="80"/>
      <c r="AC216" s="7"/>
    </row>
    <row r="217" spans="1:29" x14ac:dyDescent="0.2">
      <c r="A217" s="7"/>
      <c r="B217" s="7" t="str">
        <f t="shared" si="96"/>
        <v/>
      </c>
      <c r="C217" s="10"/>
      <c r="D217" s="31"/>
      <c r="E217" s="12"/>
      <c r="F217" s="12"/>
      <c r="G217" s="7"/>
      <c r="H217" s="7"/>
      <c r="I217" s="7"/>
      <c r="J217" s="7"/>
      <c r="K217" s="37"/>
      <c r="L217" s="37"/>
      <c r="M217" s="37"/>
      <c r="N217" s="37"/>
      <c r="O217" s="37"/>
      <c r="P217" s="13"/>
      <c r="Q217" s="7"/>
      <c r="R217" s="7"/>
      <c r="S217" s="7"/>
      <c r="T217" s="7"/>
      <c r="U217" s="7"/>
      <c r="V217" s="31"/>
      <c r="W217" s="8"/>
      <c r="X217" s="8"/>
      <c r="Y217" s="83"/>
      <c r="Z217" s="83"/>
      <c r="AA217" s="83"/>
      <c r="AB217" s="80"/>
      <c r="AC217" s="7"/>
    </row>
    <row r="218" spans="1:29" x14ac:dyDescent="0.2">
      <c r="A218" s="7"/>
      <c r="B218" s="7" t="str">
        <f t="shared" si="96"/>
        <v/>
      </c>
      <c r="C218" s="10"/>
      <c r="D218" s="31"/>
      <c r="E218" s="12"/>
      <c r="F218" s="12"/>
      <c r="G218" s="7"/>
      <c r="H218" s="7"/>
      <c r="I218" s="7"/>
      <c r="J218" s="7"/>
      <c r="K218" s="37"/>
      <c r="L218" s="37"/>
      <c r="M218" s="37"/>
      <c r="N218" s="37"/>
      <c r="O218" s="37"/>
      <c r="P218" s="13"/>
      <c r="Q218" s="7"/>
      <c r="R218" s="7"/>
      <c r="S218" s="7"/>
      <c r="T218" s="7"/>
      <c r="U218" s="7"/>
      <c r="V218" s="31"/>
      <c r="W218" s="8"/>
      <c r="X218" s="8"/>
      <c r="Y218" s="83"/>
      <c r="Z218" s="83"/>
      <c r="AA218" s="83"/>
      <c r="AB218" s="80"/>
      <c r="AC218" s="7"/>
    </row>
    <row r="219" spans="1:29" x14ac:dyDescent="0.2">
      <c r="A219" s="7"/>
      <c r="B219" s="7" t="str">
        <f t="shared" si="96"/>
        <v/>
      </c>
      <c r="C219" s="10"/>
      <c r="D219" s="31"/>
      <c r="E219" s="12"/>
      <c r="F219" s="12"/>
      <c r="G219" s="7"/>
      <c r="H219" s="7"/>
      <c r="I219" s="7"/>
      <c r="J219" s="7"/>
      <c r="K219" s="37"/>
      <c r="L219" s="37"/>
      <c r="M219" s="37"/>
      <c r="N219" s="37"/>
      <c r="O219" s="37"/>
      <c r="P219" s="13"/>
      <c r="Q219" s="7"/>
      <c r="R219" s="7"/>
      <c r="S219" s="7"/>
      <c r="T219" s="7"/>
      <c r="U219" s="7"/>
      <c r="V219" s="31"/>
      <c r="W219" s="8"/>
      <c r="X219" s="8"/>
      <c r="Y219" s="83"/>
      <c r="Z219" s="83"/>
      <c r="AA219" s="83"/>
      <c r="AB219" s="80"/>
      <c r="AC219" s="7"/>
    </row>
    <row r="220" spans="1:29" x14ac:dyDescent="0.2">
      <c r="A220" s="7"/>
      <c r="B220" s="7" t="str">
        <f t="shared" si="96"/>
        <v/>
      </c>
      <c r="C220" s="10"/>
      <c r="D220" s="31"/>
      <c r="E220" s="12"/>
      <c r="F220" s="12"/>
      <c r="G220" s="7"/>
      <c r="H220" s="7"/>
      <c r="I220" s="7"/>
      <c r="J220" s="7"/>
      <c r="K220" s="37"/>
      <c r="L220" s="37"/>
      <c r="M220" s="37"/>
      <c r="N220" s="37"/>
      <c r="O220" s="37"/>
      <c r="P220" s="13"/>
      <c r="Q220" s="7"/>
      <c r="R220" s="7"/>
      <c r="S220" s="7"/>
      <c r="T220" s="7"/>
      <c r="U220" s="7"/>
      <c r="V220" s="31"/>
      <c r="W220" s="8"/>
      <c r="X220" s="8"/>
      <c r="Y220" s="83"/>
      <c r="Z220" s="83"/>
      <c r="AA220" s="83"/>
      <c r="AB220" s="80"/>
      <c r="AC220" s="7"/>
    </row>
    <row r="221" spans="1:29" x14ac:dyDescent="0.2">
      <c r="A221" s="7"/>
      <c r="B221" s="7" t="str">
        <f t="shared" si="96"/>
        <v/>
      </c>
      <c r="C221" s="10"/>
      <c r="D221" s="31"/>
      <c r="E221" s="12"/>
      <c r="F221" s="12"/>
      <c r="G221" s="7"/>
      <c r="H221" s="7"/>
      <c r="I221" s="7"/>
      <c r="J221" s="7"/>
      <c r="K221" s="37"/>
      <c r="L221" s="37"/>
      <c r="M221" s="37"/>
      <c r="N221" s="37"/>
      <c r="O221" s="37"/>
      <c r="P221" s="13"/>
      <c r="Q221" s="7"/>
      <c r="R221" s="7"/>
      <c r="S221" s="7"/>
      <c r="T221" s="7"/>
      <c r="U221" s="7"/>
      <c r="V221" s="31"/>
      <c r="W221" s="8"/>
      <c r="X221" s="8"/>
      <c r="Y221" s="83"/>
      <c r="Z221" s="83"/>
      <c r="AA221" s="83"/>
      <c r="AB221" s="80"/>
      <c r="AC221" s="7"/>
    </row>
    <row r="222" spans="1:29" x14ac:dyDescent="0.2">
      <c r="A222" s="7"/>
      <c r="B222" s="7" t="str">
        <f t="shared" si="96"/>
        <v/>
      </c>
      <c r="C222" s="10"/>
      <c r="D222" s="31"/>
      <c r="E222" s="12"/>
      <c r="F222" s="12"/>
      <c r="G222" s="7"/>
      <c r="H222" s="7"/>
      <c r="I222" s="7"/>
      <c r="J222" s="7"/>
      <c r="K222" s="37"/>
      <c r="L222" s="37"/>
      <c r="M222" s="37"/>
      <c r="N222" s="37"/>
      <c r="O222" s="37"/>
      <c r="P222" s="13"/>
      <c r="Q222" s="7"/>
      <c r="R222" s="7"/>
      <c r="S222" s="7"/>
      <c r="T222" s="7"/>
      <c r="U222" s="7"/>
      <c r="V222" s="31"/>
      <c r="W222" s="8"/>
      <c r="X222" s="8"/>
      <c r="Y222" s="83"/>
      <c r="Z222" s="83"/>
      <c r="AA222" s="83"/>
      <c r="AB222" s="80"/>
      <c r="AC222" s="7"/>
    </row>
    <row r="223" spans="1:29" x14ac:dyDescent="0.2">
      <c r="A223" s="7"/>
      <c r="B223" s="7" t="str">
        <f t="shared" si="96"/>
        <v/>
      </c>
      <c r="C223" s="10"/>
      <c r="D223" s="31"/>
      <c r="E223" s="12"/>
      <c r="F223" s="12"/>
      <c r="G223" s="7"/>
      <c r="H223" s="7"/>
      <c r="I223" s="7"/>
      <c r="J223" s="7"/>
      <c r="K223" s="37"/>
      <c r="L223" s="37"/>
      <c r="M223" s="37"/>
      <c r="N223" s="37"/>
      <c r="O223" s="37"/>
      <c r="P223" s="13"/>
      <c r="Q223" s="7"/>
      <c r="R223" s="7"/>
      <c r="S223" s="7"/>
      <c r="T223" s="7"/>
      <c r="U223" s="7"/>
      <c r="V223" s="31"/>
      <c r="W223" s="8"/>
      <c r="X223" s="8"/>
      <c r="Y223" s="83"/>
      <c r="Z223" s="83"/>
      <c r="AA223" s="83"/>
      <c r="AB223" s="80"/>
      <c r="AC223" s="7"/>
    </row>
    <row r="224" spans="1:29" x14ac:dyDescent="0.2">
      <c r="A224" s="7"/>
      <c r="B224" s="7" t="str">
        <f t="shared" si="96"/>
        <v/>
      </c>
      <c r="C224" s="10"/>
      <c r="D224" s="31"/>
      <c r="E224" s="12"/>
      <c r="F224" s="12"/>
      <c r="G224" s="7"/>
      <c r="H224" s="7"/>
      <c r="I224" s="7"/>
      <c r="J224" s="7"/>
      <c r="K224" s="37"/>
      <c r="L224" s="37"/>
      <c r="M224" s="37"/>
      <c r="N224" s="37"/>
      <c r="O224" s="37"/>
      <c r="P224" s="13"/>
      <c r="Q224" s="7"/>
      <c r="R224" s="7"/>
      <c r="S224" s="7"/>
      <c r="T224" s="7"/>
      <c r="U224" s="7"/>
      <c r="V224" s="31"/>
      <c r="W224" s="8"/>
      <c r="X224" s="8"/>
      <c r="Y224" s="83"/>
      <c r="Z224" s="83"/>
      <c r="AA224" s="83"/>
      <c r="AB224" s="80"/>
      <c r="AC224" s="7"/>
    </row>
    <row r="225" spans="1:29" x14ac:dyDescent="0.2">
      <c r="A225" s="7"/>
      <c r="B225" s="7" t="str">
        <f t="shared" si="96"/>
        <v/>
      </c>
      <c r="C225" s="10"/>
      <c r="D225" s="31"/>
      <c r="E225" s="12"/>
      <c r="F225" s="12"/>
      <c r="G225" s="7"/>
      <c r="H225" s="7"/>
      <c r="I225" s="7"/>
      <c r="J225" s="7"/>
      <c r="K225" s="37"/>
      <c r="L225" s="37"/>
      <c r="M225" s="37"/>
      <c r="N225" s="37"/>
      <c r="O225" s="37"/>
      <c r="P225" s="13"/>
      <c r="Q225" s="7"/>
      <c r="R225" s="7"/>
      <c r="S225" s="7"/>
      <c r="T225" s="7"/>
      <c r="U225" s="7"/>
      <c r="V225" s="31"/>
      <c r="W225" s="8"/>
      <c r="X225" s="8"/>
      <c r="Y225" s="83"/>
      <c r="Z225" s="83"/>
      <c r="AA225" s="83"/>
      <c r="AB225" s="80"/>
      <c r="AC225" s="7"/>
    </row>
    <row r="226" spans="1:29" x14ac:dyDescent="0.2">
      <c r="A226" s="7"/>
      <c r="B226" s="7" t="str">
        <f t="shared" si="96"/>
        <v/>
      </c>
      <c r="C226" s="10"/>
      <c r="D226" s="31"/>
      <c r="E226" s="12"/>
      <c r="F226" s="12"/>
      <c r="G226" s="7"/>
      <c r="H226" s="7"/>
      <c r="I226" s="7"/>
      <c r="J226" s="7"/>
      <c r="K226" s="37"/>
      <c r="L226" s="37"/>
      <c r="M226" s="37"/>
      <c r="N226" s="37"/>
      <c r="O226" s="37"/>
      <c r="P226" s="13"/>
      <c r="Q226" s="7"/>
      <c r="R226" s="7"/>
      <c r="S226" s="7"/>
      <c r="T226" s="7"/>
      <c r="U226" s="7"/>
      <c r="V226" s="31"/>
      <c r="W226" s="8"/>
      <c r="X226" s="8"/>
      <c r="Y226" s="83"/>
      <c r="Z226" s="83"/>
      <c r="AA226" s="83"/>
      <c r="AB226" s="80"/>
      <c r="AC226" s="7"/>
    </row>
    <row r="227" spans="1:29" x14ac:dyDescent="0.2">
      <c r="A227" s="7"/>
      <c r="B227" s="7" t="str">
        <f t="shared" si="96"/>
        <v/>
      </c>
      <c r="C227" s="10"/>
      <c r="D227" s="31"/>
      <c r="E227" s="12"/>
      <c r="F227" s="12"/>
      <c r="G227" s="7"/>
      <c r="H227" s="7"/>
      <c r="I227" s="7"/>
      <c r="J227" s="7"/>
      <c r="K227" s="37"/>
      <c r="L227" s="37"/>
      <c r="M227" s="37"/>
      <c r="N227" s="37"/>
      <c r="O227" s="37"/>
      <c r="P227" s="13"/>
      <c r="Q227" s="7"/>
      <c r="R227" s="7"/>
      <c r="S227" s="7"/>
      <c r="T227" s="7"/>
      <c r="U227" s="7"/>
      <c r="V227" s="31"/>
      <c r="W227" s="8"/>
      <c r="X227" s="8"/>
      <c r="Y227" s="83"/>
      <c r="Z227" s="83"/>
      <c r="AA227" s="83"/>
      <c r="AB227" s="80"/>
      <c r="AC227" s="7"/>
    </row>
    <row r="228" spans="1:29" x14ac:dyDescent="0.2">
      <c r="A228" s="7"/>
      <c r="B228" s="7" t="str">
        <f t="shared" si="96"/>
        <v/>
      </c>
      <c r="C228" s="10"/>
      <c r="D228" s="31"/>
      <c r="E228" s="12"/>
      <c r="F228" s="12"/>
      <c r="G228" s="7"/>
      <c r="H228" s="7"/>
      <c r="I228" s="7"/>
      <c r="J228" s="7"/>
      <c r="K228" s="37"/>
      <c r="L228" s="37"/>
      <c r="M228" s="37"/>
      <c r="N228" s="37"/>
      <c r="O228" s="37"/>
      <c r="P228" s="13"/>
      <c r="Q228" s="7"/>
      <c r="R228" s="7"/>
      <c r="S228" s="7"/>
      <c r="T228" s="7"/>
      <c r="U228" s="7"/>
      <c r="V228" s="31"/>
      <c r="W228" s="8"/>
      <c r="X228" s="8"/>
      <c r="Y228" s="83"/>
      <c r="Z228" s="83"/>
      <c r="AA228" s="83"/>
      <c r="AB228" s="80"/>
      <c r="AC228" s="7"/>
    </row>
    <row r="229" spans="1:29" x14ac:dyDescent="0.2">
      <c r="A229" s="7"/>
      <c r="B229" s="7" t="str">
        <f t="shared" si="96"/>
        <v/>
      </c>
      <c r="C229" s="10"/>
      <c r="D229" s="31"/>
      <c r="E229" s="12"/>
      <c r="F229" s="12"/>
      <c r="G229" s="7"/>
      <c r="H229" s="7"/>
      <c r="I229" s="7"/>
      <c r="J229" s="7"/>
      <c r="K229" s="37"/>
      <c r="L229" s="37"/>
      <c r="M229" s="37"/>
      <c r="N229" s="37"/>
      <c r="O229" s="37"/>
      <c r="P229" s="13"/>
      <c r="Q229" s="7"/>
      <c r="R229" s="7"/>
      <c r="S229" s="7"/>
      <c r="T229" s="7"/>
      <c r="U229" s="7"/>
      <c r="V229" s="31"/>
      <c r="W229" s="8"/>
      <c r="X229" s="8"/>
      <c r="Y229" s="83"/>
      <c r="Z229" s="83"/>
      <c r="AA229" s="83"/>
      <c r="AB229" s="80"/>
      <c r="AC229" s="7"/>
    </row>
    <row r="230" spans="1:29" x14ac:dyDescent="0.2">
      <c r="A230" s="7"/>
      <c r="B230" s="7" t="str">
        <f t="shared" si="96"/>
        <v/>
      </c>
      <c r="C230" s="10"/>
      <c r="D230" s="31"/>
      <c r="E230" s="12"/>
      <c r="F230" s="12"/>
      <c r="G230" s="7"/>
      <c r="H230" s="7"/>
      <c r="I230" s="7"/>
      <c r="J230" s="7"/>
      <c r="K230" s="37"/>
      <c r="L230" s="37"/>
      <c r="M230" s="37"/>
      <c r="N230" s="37"/>
      <c r="O230" s="37"/>
      <c r="P230" s="13"/>
      <c r="Q230" s="7"/>
      <c r="R230" s="7"/>
      <c r="S230" s="7"/>
      <c r="T230" s="7"/>
      <c r="U230" s="7"/>
      <c r="V230" s="31"/>
      <c r="W230" s="8"/>
      <c r="X230" s="8"/>
      <c r="Y230" s="83"/>
      <c r="Z230" s="83"/>
      <c r="AA230" s="83"/>
      <c r="AB230" s="80"/>
      <c r="AC230" s="7"/>
    </row>
    <row r="231" spans="1:29" x14ac:dyDescent="0.2">
      <c r="A231" s="7"/>
      <c r="B231" s="7" t="str">
        <f t="shared" si="96"/>
        <v/>
      </c>
      <c r="C231" s="10"/>
      <c r="D231" s="31"/>
      <c r="E231" s="12"/>
      <c r="F231" s="12"/>
      <c r="G231" s="7"/>
      <c r="H231" s="7"/>
      <c r="I231" s="7"/>
      <c r="J231" s="7"/>
      <c r="K231" s="37"/>
      <c r="L231" s="37"/>
      <c r="M231" s="37"/>
      <c r="N231" s="37"/>
      <c r="O231" s="37"/>
      <c r="P231" s="13"/>
      <c r="Q231" s="7"/>
      <c r="R231" s="7"/>
      <c r="S231" s="7"/>
      <c r="T231" s="7"/>
      <c r="U231" s="7"/>
      <c r="V231" s="31"/>
      <c r="W231" s="8"/>
      <c r="X231" s="8"/>
      <c r="Y231" s="83"/>
      <c r="Z231" s="83"/>
      <c r="AA231" s="83"/>
      <c r="AB231" s="80"/>
      <c r="AC231" s="7"/>
    </row>
    <row r="232" spans="1:29" x14ac:dyDescent="0.2">
      <c r="A232" s="7"/>
      <c r="B232" s="7" t="str">
        <f t="shared" si="96"/>
        <v/>
      </c>
      <c r="C232" s="10"/>
      <c r="D232" s="31"/>
      <c r="E232" s="12"/>
      <c r="F232" s="12"/>
      <c r="G232" s="7"/>
      <c r="H232" s="7"/>
      <c r="I232" s="7"/>
      <c r="J232" s="7"/>
      <c r="K232" s="37"/>
      <c r="L232" s="37"/>
      <c r="M232" s="37"/>
      <c r="N232" s="37"/>
      <c r="O232" s="37"/>
      <c r="P232" s="13"/>
      <c r="Q232" s="7"/>
      <c r="R232" s="7"/>
      <c r="S232" s="7"/>
      <c r="T232" s="7"/>
      <c r="U232" s="7"/>
      <c r="V232" s="31"/>
      <c r="W232" s="8"/>
      <c r="X232" s="8"/>
      <c r="Y232" s="83"/>
      <c r="Z232" s="83"/>
      <c r="AA232" s="83"/>
      <c r="AB232" s="80"/>
      <c r="AC232" s="7"/>
    </row>
    <row r="233" spans="1:29" x14ac:dyDescent="0.2">
      <c r="A233" s="7"/>
      <c r="B233" s="7" t="str">
        <f t="shared" si="96"/>
        <v/>
      </c>
      <c r="C233" s="10"/>
      <c r="D233" s="31"/>
      <c r="E233" s="12"/>
      <c r="F233" s="12"/>
      <c r="G233" s="7"/>
      <c r="H233" s="7"/>
      <c r="I233" s="7"/>
      <c r="J233" s="7"/>
      <c r="K233" s="37"/>
      <c r="L233" s="37"/>
      <c r="M233" s="37"/>
      <c r="N233" s="37"/>
      <c r="O233" s="37"/>
      <c r="P233" s="13"/>
      <c r="Q233" s="7"/>
      <c r="R233" s="7"/>
      <c r="S233" s="7"/>
      <c r="T233" s="7"/>
      <c r="U233" s="7"/>
      <c r="V233" s="31"/>
      <c r="W233" s="8"/>
      <c r="X233" s="8"/>
      <c r="Y233" s="83"/>
      <c r="Z233" s="83"/>
      <c r="AA233" s="83"/>
      <c r="AB233" s="80"/>
      <c r="AC233" s="7"/>
    </row>
    <row r="234" spans="1:29" x14ac:dyDescent="0.2">
      <c r="A234" s="7"/>
      <c r="B234" s="7" t="str">
        <f t="shared" si="96"/>
        <v/>
      </c>
      <c r="C234" s="10"/>
      <c r="D234" s="31"/>
      <c r="E234" s="12"/>
      <c r="F234" s="12"/>
      <c r="G234" s="7"/>
      <c r="H234" s="7"/>
      <c r="I234" s="7"/>
      <c r="J234" s="7"/>
      <c r="K234" s="37"/>
      <c r="L234" s="37"/>
      <c r="M234" s="37"/>
      <c r="N234" s="37"/>
      <c r="O234" s="37"/>
      <c r="P234" s="13"/>
      <c r="Q234" s="7"/>
      <c r="R234" s="7"/>
      <c r="S234" s="7"/>
      <c r="T234" s="7"/>
      <c r="U234" s="7"/>
      <c r="V234" s="31"/>
      <c r="W234" s="8"/>
      <c r="X234" s="8"/>
      <c r="Y234" s="83"/>
      <c r="Z234" s="83"/>
      <c r="AA234" s="83"/>
      <c r="AB234" s="80"/>
      <c r="AC234" s="7"/>
    </row>
    <row r="235" spans="1:29" x14ac:dyDescent="0.2">
      <c r="A235" s="7"/>
      <c r="B235" s="7" t="str">
        <f t="shared" si="96"/>
        <v/>
      </c>
      <c r="C235" s="10"/>
      <c r="D235" s="31"/>
      <c r="E235" s="12"/>
      <c r="F235" s="12"/>
      <c r="G235" s="7"/>
      <c r="H235" s="7"/>
      <c r="I235" s="7"/>
      <c r="J235" s="7"/>
      <c r="K235" s="37"/>
      <c r="L235" s="37"/>
      <c r="M235" s="37"/>
      <c r="N235" s="37"/>
      <c r="O235" s="37"/>
      <c r="P235" s="13"/>
      <c r="Q235" s="7"/>
      <c r="R235" s="7"/>
      <c r="S235" s="7"/>
      <c r="T235" s="7"/>
      <c r="U235" s="7"/>
      <c r="V235" s="31"/>
      <c r="W235" s="8"/>
      <c r="X235" s="8"/>
      <c r="Y235" s="83"/>
      <c r="Z235" s="83"/>
      <c r="AA235" s="83"/>
      <c r="AB235" s="80"/>
      <c r="AC235" s="7"/>
    </row>
    <row r="236" spans="1:29" x14ac:dyDescent="0.2">
      <c r="A236" s="7"/>
      <c r="B236" s="7" t="str">
        <f t="shared" si="96"/>
        <v/>
      </c>
      <c r="C236" s="10"/>
      <c r="D236" s="31"/>
      <c r="E236" s="12"/>
      <c r="F236" s="12"/>
      <c r="G236" s="7"/>
      <c r="H236" s="7"/>
      <c r="I236" s="7"/>
      <c r="J236" s="7"/>
      <c r="K236" s="37"/>
      <c r="L236" s="37"/>
      <c r="M236" s="37"/>
      <c r="N236" s="37"/>
      <c r="O236" s="37"/>
      <c r="P236" s="13"/>
      <c r="Q236" s="7"/>
      <c r="R236" s="7"/>
      <c r="S236" s="7"/>
      <c r="T236" s="7"/>
      <c r="U236" s="7"/>
      <c r="V236" s="31"/>
      <c r="W236" s="8"/>
      <c r="X236" s="8"/>
      <c r="Y236" s="83"/>
      <c r="Z236" s="83"/>
      <c r="AA236" s="83"/>
      <c r="AB236" s="80"/>
      <c r="AC236" s="7"/>
    </row>
    <row r="237" spans="1:29" x14ac:dyDescent="0.2">
      <c r="A237" s="7"/>
      <c r="B237" s="7" t="str">
        <f t="shared" si="96"/>
        <v/>
      </c>
      <c r="C237" s="10"/>
      <c r="D237" s="31"/>
      <c r="E237" s="12"/>
      <c r="F237" s="12"/>
      <c r="G237" s="7"/>
      <c r="H237" s="7"/>
      <c r="I237" s="7"/>
      <c r="J237" s="7"/>
      <c r="K237" s="37"/>
      <c r="L237" s="37"/>
      <c r="M237" s="37"/>
      <c r="N237" s="37"/>
      <c r="O237" s="37"/>
      <c r="P237" s="13"/>
      <c r="Q237" s="7"/>
      <c r="R237" s="7"/>
      <c r="S237" s="7"/>
      <c r="T237" s="7"/>
      <c r="U237" s="7"/>
      <c r="V237" s="31"/>
      <c r="W237" s="8"/>
      <c r="X237" s="8"/>
      <c r="Y237" s="83"/>
      <c r="Z237" s="83"/>
      <c r="AA237" s="83"/>
      <c r="AB237" s="80"/>
      <c r="AC237" s="7"/>
    </row>
    <row r="238" spans="1:29" x14ac:dyDescent="0.2">
      <c r="A238" s="7"/>
      <c r="B238" s="7" t="str">
        <f t="shared" si="96"/>
        <v/>
      </c>
      <c r="C238" s="10"/>
      <c r="D238" s="31"/>
      <c r="E238" s="12"/>
      <c r="F238" s="12"/>
      <c r="G238" s="7"/>
      <c r="H238" s="7"/>
      <c r="I238" s="7"/>
      <c r="J238" s="7"/>
      <c r="K238" s="37"/>
      <c r="L238" s="37"/>
      <c r="M238" s="37"/>
      <c r="N238" s="37"/>
      <c r="O238" s="37"/>
      <c r="P238" s="13"/>
      <c r="Q238" s="7"/>
      <c r="R238" s="7"/>
      <c r="S238" s="7"/>
      <c r="T238" s="7"/>
      <c r="U238" s="7"/>
      <c r="V238" s="31"/>
      <c r="W238" s="8"/>
      <c r="X238" s="8"/>
      <c r="Y238" s="83"/>
      <c r="Z238" s="83"/>
      <c r="AA238" s="83"/>
      <c r="AB238" s="80"/>
      <c r="AC238" s="7"/>
    </row>
    <row r="239" spans="1:29" x14ac:dyDescent="0.2">
      <c r="A239" s="7"/>
      <c r="B239" s="7" t="str">
        <f t="shared" si="96"/>
        <v/>
      </c>
      <c r="C239" s="10"/>
      <c r="D239" s="31"/>
      <c r="E239" s="12"/>
      <c r="F239" s="12"/>
      <c r="G239" s="7"/>
      <c r="H239" s="7"/>
      <c r="I239" s="7"/>
      <c r="J239" s="7"/>
      <c r="K239" s="37"/>
      <c r="L239" s="37"/>
      <c r="M239" s="37"/>
      <c r="N239" s="37"/>
      <c r="O239" s="37"/>
      <c r="P239" s="13"/>
      <c r="Q239" s="7"/>
      <c r="R239" s="7"/>
      <c r="S239" s="7"/>
      <c r="T239" s="7"/>
      <c r="U239" s="7"/>
      <c r="V239" s="31"/>
      <c r="W239" s="8"/>
      <c r="X239" s="8"/>
      <c r="Y239" s="83"/>
      <c r="Z239" s="83"/>
      <c r="AA239" s="83"/>
      <c r="AB239" s="80"/>
      <c r="AC239" s="7"/>
    </row>
    <row r="240" spans="1:29" x14ac:dyDescent="0.2">
      <c r="A240" s="7"/>
      <c r="B240" s="7" t="str">
        <f t="shared" si="96"/>
        <v/>
      </c>
      <c r="C240" s="10"/>
      <c r="D240" s="31"/>
      <c r="E240" s="12"/>
      <c r="F240" s="12"/>
      <c r="G240" s="7"/>
      <c r="H240" s="7"/>
      <c r="I240" s="7"/>
      <c r="J240" s="7"/>
      <c r="K240" s="37"/>
      <c r="L240" s="37"/>
      <c r="M240" s="37"/>
      <c r="N240" s="37"/>
      <c r="O240" s="37"/>
      <c r="P240" s="13"/>
      <c r="Q240" s="7"/>
      <c r="R240" s="7"/>
      <c r="S240" s="7"/>
      <c r="T240" s="7"/>
      <c r="U240" s="7"/>
      <c r="V240" s="31"/>
      <c r="W240" s="8"/>
      <c r="X240" s="8"/>
      <c r="Y240" s="83"/>
      <c r="Z240" s="83"/>
      <c r="AA240" s="83"/>
      <c r="AB240" s="80"/>
      <c r="AC240" s="7"/>
    </row>
    <row r="241" spans="1:29" x14ac:dyDescent="0.2">
      <c r="A241" s="7"/>
      <c r="B241" s="7" t="str">
        <f t="shared" si="96"/>
        <v/>
      </c>
      <c r="C241" s="10"/>
      <c r="D241" s="31"/>
      <c r="E241" s="12"/>
      <c r="F241" s="12"/>
      <c r="G241" s="7"/>
      <c r="H241" s="7"/>
      <c r="I241" s="7"/>
      <c r="J241" s="7"/>
      <c r="K241" s="37"/>
      <c r="L241" s="37"/>
      <c r="M241" s="37"/>
      <c r="N241" s="37"/>
      <c r="O241" s="37"/>
      <c r="P241" s="13"/>
      <c r="Q241" s="7"/>
      <c r="R241" s="7"/>
      <c r="S241" s="7"/>
      <c r="T241" s="7"/>
      <c r="U241" s="7"/>
      <c r="V241" s="31"/>
      <c r="W241" s="8"/>
      <c r="X241" s="8"/>
      <c r="Y241" s="83"/>
      <c r="Z241" s="83"/>
      <c r="AA241" s="83"/>
      <c r="AB241" s="80"/>
      <c r="AC241" s="7"/>
    </row>
    <row r="242" spans="1:29" x14ac:dyDescent="0.2">
      <c r="A242" s="7"/>
      <c r="B242" s="7" t="str">
        <f t="shared" si="96"/>
        <v/>
      </c>
      <c r="C242" s="10"/>
      <c r="D242" s="31"/>
      <c r="E242" s="12"/>
      <c r="F242" s="12"/>
      <c r="G242" s="7"/>
      <c r="H242" s="7"/>
      <c r="I242" s="7"/>
      <c r="J242" s="7"/>
      <c r="K242" s="37"/>
      <c r="L242" s="37"/>
      <c r="M242" s="37"/>
      <c r="N242" s="37"/>
      <c r="O242" s="37"/>
      <c r="P242" s="13"/>
      <c r="Q242" s="7"/>
      <c r="R242" s="7"/>
      <c r="S242" s="7"/>
      <c r="T242" s="7"/>
      <c r="U242" s="7"/>
      <c r="V242" s="31"/>
      <c r="W242" s="8"/>
      <c r="X242" s="8"/>
      <c r="Y242" s="83"/>
      <c r="Z242" s="83"/>
      <c r="AA242" s="83"/>
      <c r="AB242" s="80"/>
      <c r="AC242" s="7"/>
    </row>
    <row r="243" spans="1:29" x14ac:dyDescent="0.2">
      <c r="A243" s="7"/>
      <c r="B243" s="7" t="str">
        <f t="shared" si="96"/>
        <v/>
      </c>
      <c r="C243" s="10"/>
      <c r="D243" s="31"/>
      <c r="E243" s="12"/>
      <c r="F243" s="12"/>
      <c r="G243" s="7"/>
      <c r="H243" s="7"/>
      <c r="I243" s="7"/>
      <c r="J243" s="7"/>
      <c r="K243" s="37"/>
      <c r="L243" s="37"/>
      <c r="M243" s="37"/>
      <c r="N243" s="37"/>
      <c r="O243" s="37"/>
      <c r="P243" s="13"/>
      <c r="Q243" s="7"/>
      <c r="R243" s="7"/>
      <c r="S243" s="7"/>
      <c r="T243" s="7"/>
      <c r="U243" s="7"/>
      <c r="V243" s="31"/>
      <c r="W243" s="8"/>
      <c r="X243" s="8"/>
      <c r="Y243" s="83"/>
      <c r="Z243" s="83"/>
      <c r="AA243" s="83"/>
      <c r="AB243" s="80"/>
      <c r="AC243" s="7"/>
    </row>
    <row r="244" spans="1:29" x14ac:dyDescent="0.2">
      <c r="A244" s="7"/>
      <c r="B244" s="7" t="str">
        <f t="shared" si="96"/>
        <v/>
      </c>
      <c r="C244" s="10"/>
      <c r="D244" s="31"/>
      <c r="E244" s="12"/>
      <c r="F244" s="12"/>
      <c r="G244" s="7"/>
      <c r="H244" s="7"/>
      <c r="I244" s="7"/>
      <c r="J244" s="7"/>
      <c r="K244" s="37"/>
      <c r="L244" s="37"/>
      <c r="M244" s="37"/>
      <c r="N244" s="37"/>
      <c r="O244" s="37"/>
      <c r="P244" s="13"/>
      <c r="Q244" s="7"/>
      <c r="R244" s="7"/>
      <c r="S244" s="7"/>
      <c r="T244" s="7"/>
      <c r="U244" s="7"/>
      <c r="V244" s="31"/>
      <c r="W244" s="8"/>
      <c r="X244" s="8"/>
      <c r="Y244" s="83"/>
      <c r="Z244" s="83"/>
      <c r="AA244" s="83"/>
      <c r="AB244" s="80"/>
      <c r="AC244" s="7"/>
    </row>
    <row r="245" spans="1:29" x14ac:dyDescent="0.2">
      <c r="A245" s="7"/>
      <c r="B245" s="7" t="str">
        <f t="shared" si="96"/>
        <v/>
      </c>
      <c r="C245" s="10"/>
      <c r="D245" s="31"/>
      <c r="E245" s="12"/>
      <c r="F245" s="12"/>
      <c r="G245" s="7"/>
      <c r="H245" s="7"/>
      <c r="I245" s="7"/>
      <c r="J245" s="7"/>
      <c r="K245" s="37"/>
      <c r="L245" s="37"/>
      <c r="M245" s="37"/>
      <c r="N245" s="37"/>
      <c r="O245" s="37"/>
      <c r="P245" s="13"/>
      <c r="Q245" s="7"/>
      <c r="R245" s="7"/>
      <c r="S245" s="7"/>
      <c r="T245" s="7"/>
      <c r="U245" s="7"/>
      <c r="V245" s="31"/>
      <c r="W245" s="8"/>
      <c r="X245" s="8"/>
      <c r="Y245" s="83"/>
      <c r="Z245" s="83"/>
      <c r="AA245" s="83"/>
      <c r="AB245" s="80"/>
      <c r="AC245" s="7"/>
    </row>
    <row r="246" spans="1:29" x14ac:dyDescent="0.2">
      <c r="A246" s="7"/>
      <c r="B246" s="7" t="str">
        <f t="shared" si="96"/>
        <v/>
      </c>
      <c r="C246" s="10"/>
      <c r="D246" s="31"/>
      <c r="E246" s="12"/>
      <c r="F246" s="12"/>
      <c r="G246" s="7"/>
      <c r="H246" s="7"/>
      <c r="I246" s="7"/>
      <c r="J246" s="7"/>
      <c r="K246" s="37"/>
      <c r="L246" s="37"/>
      <c r="M246" s="37"/>
      <c r="N246" s="37"/>
      <c r="O246" s="37"/>
      <c r="P246" s="13"/>
      <c r="Q246" s="7"/>
      <c r="R246" s="7"/>
      <c r="S246" s="7"/>
      <c r="T246" s="7"/>
      <c r="U246" s="7"/>
      <c r="V246" s="31"/>
      <c r="W246" s="8"/>
      <c r="X246" s="8"/>
      <c r="Y246" s="83"/>
      <c r="Z246" s="83"/>
      <c r="AA246" s="83"/>
      <c r="AB246" s="80"/>
      <c r="AC246" s="7"/>
    </row>
    <row r="247" spans="1:29" x14ac:dyDescent="0.2">
      <c r="A247" s="7"/>
      <c r="B247" s="7" t="str">
        <f t="shared" si="96"/>
        <v/>
      </c>
      <c r="C247" s="10"/>
      <c r="D247" s="31"/>
      <c r="E247" s="12"/>
      <c r="F247" s="12"/>
      <c r="G247" s="7"/>
      <c r="H247" s="7"/>
      <c r="I247" s="7"/>
      <c r="J247" s="7"/>
      <c r="K247" s="37"/>
      <c r="L247" s="37"/>
      <c r="M247" s="37"/>
      <c r="N247" s="37"/>
      <c r="O247" s="37"/>
      <c r="P247" s="13"/>
      <c r="Q247" s="7"/>
      <c r="R247" s="7"/>
      <c r="S247" s="7"/>
      <c r="T247" s="7"/>
      <c r="U247" s="7"/>
      <c r="V247" s="31"/>
      <c r="W247" s="8"/>
      <c r="X247" s="8"/>
      <c r="Y247" s="83"/>
      <c r="Z247" s="83"/>
      <c r="AA247" s="83"/>
      <c r="AB247" s="80"/>
      <c r="AC247" s="7"/>
    </row>
    <row r="248" spans="1:29" x14ac:dyDescent="0.2">
      <c r="A248" s="7"/>
      <c r="B248" s="7" t="str">
        <f t="shared" si="96"/>
        <v/>
      </c>
      <c r="C248" s="10"/>
      <c r="D248" s="31"/>
      <c r="E248" s="12"/>
      <c r="F248" s="12"/>
      <c r="G248" s="7"/>
      <c r="H248" s="7"/>
      <c r="I248" s="7"/>
      <c r="J248" s="7"/>
      <c r="K248" s="37"/>
      <c r="L248" s="37"/>
      <c r="M248" s="37"/>
      <c r="N248" s="37"/>
      <c r="O248" s="37"/>
      <c r="P248" s="13"/>
      <c r="Q248" s="7"/>
      <c r="R248" s="7"/>
      <c r="S248" s="7"/>
      <c r="T248" s="7"/>
      <c r="U248" s="7"/>
      <c r="V248" s="31"/>
      <c r="W248" s="8"/>
      <c r="X248" s="8"/>
      <c r="Y248" s="83"/>
      <c r="Z248" s="83"/>
      <c r="AA248" s="83"/>
      <c r="AB248" s="80"/>
      <c r="AC248" s="7"/>
    </row>
    <row r="249" spans="1:29" x14ac:dyDescent="0.2">
      <c r="A249" s="7"/>
      <c r="B249" s="7" t="str">
        <f t="shared" si="96"/>
        <v/>
      </c>
      <c r="C249" s="10"/>
      <c r="D249" s="31"/>
      <c r="E249" s="12"/>
      <c r="F249" s="12"/>
      <c r="G249" s="7"/>
      <c r="H249" s="7"/>
      <c r="I249" s="7"/>
      <c r="J249" s="7"/>
      <c r="K249" s="37"/>
      <c r="L249" s="37"/>
      <c r="M249" s="37"/>
      <c r="N249" s="37"/>
      <c r="O249" s="37"/>
      <c r="P249" s="13"/>
      <c r="Q249" s="7"/>
      <c r="R249" s="7"/>
      <c r="S249" s="7"/>
      <c r="T249" s="7"/>
      <c r="U249" s="7"/>
      <c r="V249" s="31"/>
      <c r="W249" s="8"/>
      <c r="X249" s="8"/>
      <c r="Y249" s="83"/>
      <c r="Z249" s="83"/>
      <c r="AA249" s="83"/>
      <c r="AB249" s="80"/>
      <c r="AC249" s="7"/>
    </row>
    <row r="250" spans="1:29" x14ac:dyDescent="0.2">
      <c r="A250" s="7"/>
      <c r="B250" s="7" t="str">
        <f t="shared" si="96"/>
        <v/>
      </c>
      <c r="C250" s="49"/>
      <c r="D250" s="31"/>
      <c r="E250" s="12"/>
      <c r="F250" s="12"/>
      <c r="G250" s="7"/>
      <c r="H250" s="7"/>
      <c r="I250" s="7"/>
      <c r="J250" s="7"/>
      <c r="K250" s="37"/>
      <c r="L250" s="37"/>
      <c r="M250" s="37"/>
      <c r="N250" s="37"/>
      <c r="O250" s="37"/>
      <c r="P250" s="13"/>
      <c r="Q250" s="7"/>
      <c r="R250" s="7"/>
      <c r="S250" s="7"/>
      <c r="T250" s="7"/>
      <c r="U250" s="7"/>
      <c r="V250" s="31"/>
      <c r="W250" s="8"/>
      <c r="X250" s="8"/>
      <c r="Y250" s="83"/>
      <c r="Z250" s="83"/>
      <c r="AA250" s="83"/>
      <c r="AB250" s="80"/>
      <c r="AC250" s="7"/>
    </row>
    <row r="251" spans="1:29" x14ac:dyDescent="0.2">
      <c r="A251" s="7"/>
      <c r="B251" s="7" t="str">
        <f t="shared" si="96"/>
        <v/>
      </c>
      <c r="C251" s="49"/>
      <c r="D251" s="31"/>
      <c r="E251" s="12"/>
      <c r="F251" s="12"/>
      <c r="G251" s="7"/>
      <c r="H251" s="7"/>
      <c r="I251" s="7"/>
      <c r="J251" s="7"/>
      <c r="K251" s="37"/>
      <c r="L251" s="37"/>
      <c r="M251" s="37"/>
      <c r="N251" s="37"/>
      <c r="O251" s="37"/>
      <c r="P251" s="13"/>
      <c r="Q251" s="7"/>
      <c r="R251" s="7"/>
      <c r="S251" s="7"/>
      <c r="T251" s="7"/>
      <c r="U251" s="7"/>
      <c r="V251" s="31"/>
      <c r="W251" s="8"/>
      <c r="X251" s="8"/>
      <c r="Y251" s="83"/>
      <c r="Z251" s="83"/>
      <c r="AA251" s="83"/>
      <c r="AB251" s="80"/>
      <c r="AC251" s="7"/>
    </row>
    <row r="252" spans="1:29" x14ac:dyDescent="0.2">
      <c r="A252" s="7"/>
      <c r="B252" s="7" t="str">
        <f t="shared" si="96"/>
        <v/>
      </c>
      <c r="C252" s="10"/>
      <c r="D252" s="31"/>
      <c r="E252" s="12"/>
      <c r="F252" s="12"/>
      <c r="G252" s="7"/>
      <c r="H252" s="7"/>
      <c r="I252" s="7"/>
      <c r="J252" s="7"/>
      <c r="K252" s="37"/>
      <c r="L252" s="37"/>
      <c r="M252" s="37"/>
      <c r="N252" s="37"/>
      <c r="O252" s="37"/>
      <c r="P252" s="13"/>
      <c r="Q252" s="7"/>
      <c r="R252" s="7"/>
      <c r="S252" s="7"/>
      <c r="T252" s="7"/>
      <c r="U252" s="7"/>
      <c r="V252" s="31"/>
      <c r="W252" s="8"/>
      <c r="X252" s="8"/>
      <c r="Y252" s="83"/>
      <c r="Z252" s="83"/>
      <c r="AA252" s="83"/>
      <c r="AB252" s="80"/>
      <c r="AC252" s="7"/>
    </row>
    <row r="253" spans="1:29" x14ac:dyDescent="0.2">
      <c r="A253" s="7"/>
      <c r="B253" s="7" t="str">
        <f t="shared" si="96"/>
        <v/>
      </c>
      <c r="C253" s="10"/>
      <c r="D253" s="31"/>
      <c r="E253" s="12"/>
      <c r="F253" s="12"/>
      <c r="G253" s="7"/>
      <c r="H253" s="7"/>
      <c r="I253" s="7"/>
      <c r="J253" s="7"/>
      <c r="K253" s="37"/>
      <c r="L253" s="37"/>
      <c r="M253" s="37"/>
      <c r="N253" s="37"/>
      <c r="O253" s="37"/>
      <c r="P253" s="13"/>
      <c r="Q253" s="7"/>
      <c r="R253" s="7"/>
      <c r="S253" s="7"/>
      <c r="T253" s="7"/>
      <c r="U253" s="7"/>
      <c r="V253" s="31"/>
      <c r="W253" s="8"/>
      <c r="X253" s="8"/>
      <c r="Y253" s="83"/>
      <c r="Z253" s="83"/>
      <c r="AA253" s="83"/>
      <c r="AB253" s="80"/>
      <c r="AC253" s="7"/>
    </row>
    <row r="254" spans="1:29" x14ac:dyDescent="0.2">
      <c r="A254" s="7"/>
      <c r="B254" s="7" t="str">
        <f t="shared" si="96"/>
        <v/>
      </c>
      <c r="C254" s="10"/>
      <c r="D254" s="31"/>
      <c r="E254" s="12"/>
      <c r="F254" s="12"/>
      <c r="G254" s="7"/>
      <c r="H254" s="7"/>
      <c r="I254" s="7"/>
      <c r="J254" s="7"/>
      <c r="K254" s="37"/>
      <c r="L254" s="37"/>
      <c r="M254" s="37"/>
      <c r="N254" s="37"/>
      <c r="O254" s="37"/>
      <c r="P254" s="13"/>
      <c r="Q254" s="7"/>
      <c r="R254" s="7"/>
      <c r="S254" s="7"/>
      <c r="T254" s="7"/>
      <c r="U254" s="7"/>
      <c r="V254" s="31"/>
      <c r="W254" s="8"/>
      <c r="X254" s="8"/>
      <c r="Y254" s="83"/>
      <c r="Z254" s="83"/>
      <c r="AA254" s="83"/>
      <c r="AB254" s="80"/>
      <c r="AC254" s="7"/>
    </row>
    <row r="255" spans="1:29" x14ac:dyDescent="0.2">
      <c r="A255" s="7"/>
      <c r="B255" s="7" t="str">
        <f t="shared" si="96"/>
        <v/>
      </c>
      <c r="C255" s="10"/>
      <c r="D255" s="31"/>
      <c r="E255" s="12"/>
      <c r="F255" s="12"/>
      <c r="G255" s="7"/>
      <c r="H255" s="7"/>
      <c r="I255" s="7"/>
      <c r="J255" s="7"/>
      <c r="K255" s="37"/>
      <c r="L255" s="37"/>
      <c r="M255" s="37"/>
      <c r="N255" s="37"/>
      <c r="O255" s="37"/>
      <c r="P255" s="13"/>
      <c r="Q255" s="7"/>
      <c r="R255" s="7"/>
      <c r="S255" s="7"/>
      <c r="T255" s="7"/>
      <c r="U255" s="7"/>
      <c r="V255" s="31"/>
      <c r="W255" s="8"/>
      <c r="X255" s="8"/>
      <c r="Y255" s="83"/>
      <c r="Z255" s="83"/>
      <c r="AA255" s="83"/>
      <c r="AB255" s="80"/>
      <c r="AC255" s="7"/>
    </row>
    <row r="256" spans="1:29" x14ac:dyDescent="0.2">
      <c r="A256" s="7"/>
      <c r="B256" s="7" t="str">
        <f t="shared" si="96"/>
        <v/>
      </c>
      <c r="C256" s="10"/>
      <c r="D256" s="31"/>
      <c r="E256" s="12"/>
      <c r="F256" s="12"/>
      <c r="G256" s="7"/>
      <c r="H256" s="7"/>
      <c r="I256" s="7"/>
      <c r="J256" s="7"/>
      <c r="K256" s="37"/>
      <c r="L256" s="37"/>
      <c r="M256" s="37"/>
      <c r="N256" s="37"/>
      <c r="O256" s="37"/>
      <c r="P256" s="13"/>
      <c r="Q256" s="7"/>
      <c r="R256" s="7"/>
      <c r="S256" s="7"/>
      <c r="T256" s="7"/>
      <c r="U256" s="7"/>
      <c r="V256" s="31"/>
      <c r="W256" s="8"/>
      <c r="X256" s="8"/>
      <c r="Y256" s="83"/>
      <c r="Z256" s="83"/>
      <c r="AA256" s="83"/>
      <c r="AB256" s="80"/>
      <c r="AC256" s="7"/>
    </row>
    <row r="257" spans="1:29" x14ac:dyDescent="0.2">
      <c r="A257" s="7"/>
      <c r="B257" s="7" t="str">
        <f t="shared" si="96"/>
        <v/>
      </c>
      <c r="C257" s="10"/>
      <c r="D257" s="31"/>
      <c r="E257" s="12"/>
      <c r="F257" s="12"/>
      <c r="G257" s="7"/>
      <c r="H257" s="7"/>
      <c r="I257" s="7"/>
      <c r="J257" s="7"/>
      <c r="K257" s="37"/>
      <c r="L257" s="37"/>
      <c r="M257" s="37"/>
      <c r="N257" s="37"/>
      <c r="O257" s="37"/>
      <c r="P257" s="13"/>
      <c r="Q257" s="7"/>
      <c r="R257" s="7"/>
      <c r="S257" s="7"/>
      <c r="T257" s="7"/>
      <c r="U257" s="7"/>
      <c r="V257" s="31"/>
      <c r="W257" s="8"/>
      <c r="X257" s="8"/>
      <c r="Y257" s="83"/>
      <c r="Z257" s="83"/>
      <c r="AA257" s="83"/>
      <c r="AB257" s="80"/>
      <c r="AC257" s="7"/>
    </row>
    <row r="258" spans="1:29" x14ac:dyDescent="0.2">
      <c r="A258" s="7"/>
      <c r="B258" s="7" t="str">
        <f t="shared" si="96"/>
        <v/>
      </c>
      <c r="C258" s="10"/>
      <c r="D258" s="31"/>
      <c r="E258" s="12"/>
      <c r="F258" s="12"/>
      <c r="G258" s="7"/>
      <c r="H258" s="7"/>
      <c r="I258" s="7"/>
      <c r="J258" s="7"/>
      <c r="K258" s="37"/>
      <c r="L258" s="37"/>
      <c r="M258" s="37"/>
      <c r="N258" s="37"/>
      <c r="O258" s="37"/>
      <c r="P258" s="13"/>
      <c r="Q258" s="7"/>
      <c r="R258" s="7"/>
      <c r="S258" s="7"/>
      <c r="T258" s="7"/>
      <c r="U258" s="7"/>
      <c r="V258" s="31"/>
      <c r="W258" s="8"/>
      <c r="X258" s="8"/>
      <c r="Y258" s="83"/>
      <c r="Z258" s="83"/>
      <c r="AA258" s="83"/>
      <c r="AB258" s="80"/>
      <c r="AC258" s="7"/>
    </row>
    <row r="259" spans="1:29" x14ac:dyDescent="0.2">
      <c r="A259" s="7"/>
      <c r="B259" s="7" t="str">
        <f t="shared" si="96"/>
        <v/>
      </c>
      <c r="C259" s="10"/>
      <c r="D259" s="31"/>
      <c r="E259" s="12"/>
      <c r="F259" s="12"/>
      <c r="G259" s="7"/>
      <c r="H259" s="7"/>
      <c r="I259" s="7"/>
      <c r="J259" s="7"/>
      <c r="K259" s="37"/>
      <c r="L259" s="37"/>
      <c r="M259" s="37"/>
      <c r="N259" s="37"/>
      <c r="O259" s="37"/>
      <c r="P259" s="13"/>
      <c r="Q259" s="13"/>
      <c r="R259" s="13"/>
      <c r="S259" s="13"/>
      <c r="T259" s="13"/>
      <c r="U259" s="13"/>
      <c r="V259" s="31"/>
      <c r="W259" s="8"/>
      <c r="X259" s="8"/>
      <c r="Y259" s="83"/>
      <c r="Z259" s="83"/>
      <c r="AA259" s="83"/>
      <c r="AB259" s="80"/>
      <c r="AC259" s="7"/>
    </row>
    <row r="260" spans="1:29" x14ac:dyDescent="0.2">
      <c r="A260" s="7"/>
      <c r="B260" s="7" t="str">
        <f t="shared" si="96"/>
        <v/>
      </c>
      <c r="C260" s="10"/>
      <c r="D260" s="31"/>
      <c r="E260" s="12"/>
      <c r="F260" s="12"/>
      <c r="G260" s="7"/>
      <c r="H260" s="7"/>
      <c r="I260" s="7"/>
      <c r="J260" s="7"/>
      <c r="K260" s="37"/>
      <c r="L260" s="37"/>
      <c r="M260" s="37"/>
      <c r="N260" s="37"/>
      <c r="O260" s="37"/>
      <c r="P260" s="13"/>
      <c r="Q260" s="13"/>
      <c r="R260" s="13"/>
      <c r="S260" s="13"/>
      <c r="T260" s="13"/>
      <c r="U260" s="13"/>
      <c r="V260" s="31"/>
      <c r="W260" s="8"/>
      <c r="X260" s="8"/>
      <c r="Y260" s="83"/>
      <c r="Z260" s="83"/>
      <c r="AA260" s="83"/>
      <c r="AB260" s="80"/>
      <c r="AC260" s="7"/>
    </row>
    <row r="261" spans="1:29" x14ac:dyDescent="0.2">
      <c r="A261" s="7"/>
      <c r="B261" s="7" t="str">
        <f t="shared" si="96"/>
        <v/>
      </c>
      <c r="C261" s="10"/>
      <c r="D261" s="31"/>
      <c r="E261" s="12"/>
      <c r="F261" s="12"/>
      <c r="G261" s="7"/>
      <c r="H261" s="7"/>
      <c r="I261" s="7"/>
      <c r="J261" s="7"/>
      <c r="K261" s="37"/>
      <c r="L261" s="37"/>
      <c r="M261" s="37"/>
      <c r="N261" s="37"/>
      <c r="O261" s="37"/>
      <c r="P261" s="13"/>
      <c r="Q261" s="7"/>
      <c r="R261" s="7"/>
      <c r="S261" s="7"/>
      <c r="T261" s="7"/>
      <c r="U261" s="7"/>
      <c r="V261" s="31"/>
      <c r="W261" s="8"/>
      <c r="X261" s="8"/>
      <c r="Y261" s="83"/>
      <c r="Z261" s="83"/>
      <c r="AA261" s="83"/>
      <c r="AB261" s="80"/>
      <c r="AC261" s="7"/>
    </row>
    <row r="262" spans="1:29" x14ac:dyDescent="0.2">
      <c r="A262" s="7"/>
      <c r="B262" s="7" t="str">
        <f t="shared" si="96"/>
        <v/>
      </c>
      <c r="C262" s="10"/>
      <c r="D262" s="31"/>
      <c r="E262" s="12"/>
      <c r="F262" s="12"/>
      <c r="G262" s="7"/>
      <c r="H262" s="7"/>
      <c r="I262" s="7"/>
      <c r="J262" s="7"/>
      <c r="K262" s="37"/>
      <c r="L262" s="37"/>
      <c r="M262" s="37"/>
      <c r="N262" s="37"/>
      <c r="O262" s="37"/>
      <c r="P262" s="13"/>
      <c r="Q262" s="7"/>
      <c r="R262" s="7"/>
      <c r="S262" s="7"/>
      <c r="T262" s="7"/>
      <c r="U262" s="7"/>
      <c r="V262" s="31"/>
      <c r="W262" s="8"/>
      <c r="X262" s="8"/>
      <c r="Y262" s="83"/>
      <c r="Z262" s="83"/>
      <c r="AA262" s="83"/>
      <c r="AB262" s="80"/>
      <c r="AC262" s="7"/>
    </row>
    <row r="263" spans="1:29" x14ac:dyDescent="0.2">
      <c r="A263" s="7"/>
      <c r="B263" s="7" t="str">
        <f t="shared" si="96"/>
        <v/>
      </c>
      <c r="C263" s="10"/>
      <c r="D263" s="31"/>
      <c r="E263" s="12"/>
      <c r="F263" s="12"/>
      <c r="G263" s="7"/>
      <c r="H263" s="7"/>
      <c r="I263" s="7"/>
      <c r="J263" s="7"/>
      <c r="K263" s="37"/>
      <c r="L263" s="37"/>
      <c r="M263" s="37"/>
      <c r="N263" s="37"/>
      <c r="O263" s="37"/>
      <c r="P263" s="13"/>
      <c r="Q263" s="7"/>
      <c r="R263" s="7"/>
      <c r="S263" s="7"/>
      <c r="T263" s="7"/>
      <c r="U263" s="7"/>
      <c r="V263" s="31"/>
      <c r="W263" s="8"/>
      <c r="X263" s="8"/>
      <c r="Y263" s="83"/>
      <c r="Z263" s="83"/>
      <c r="AA263" s="83"/>
      <c r="AB263" s="80"/>
      <c r="AC263" s="7"/>
    </row>
    <row r="264" spans="1:29" x14ac:dyDescent="0.2">
      <c r="A264" s="7"/>
      <c r="B264" s="7" t="str">
        <f t="shared" si="96"/>
        <v/>
      </c>
      <c r="C264" s="10"/>
      <c r="D264" s="31"/>
      <c r="E264" s="12"/>
      <c r="F264" s="12"/>
      <c r="G264" s="7"/>
      <c r="H264" s="7"/>
      <c r="I264" s="7"/>
      <c r="J264" s="7"/>
      <c r="K264" s="37"/>
      <c r="L264" s="37"/>
      <c r="M264" s="37"/>
      <c r="N264" s="37"/>
      <c r="O264" s="37"/>
      <c r="P264" s="35"/>
      <c r="Q264" s="7"/>
      <c r="R264" s="7"/>
      <c r="S264" s="7"/>
      <c r="T264" s="7"/>
      <c r="U264" s="7"/>
      <c r="V264" s="31"/>
      <c r="W264" s="8"/>
      <c r="X264" s="8"/>
      <c r="Y264" s="83"/>
      <c r="Z264" s="83"/>
      <c r="AA264" s="83"/>
      <c r="AB264" s="80"/>
      <c r="AC264" s="7"/>
    </row>
    <row r="265" spans="1:29" x14ac:dyDescent="0.2">
      <c r="A265" s="7"/>
      <c r="B265" s="7" t="str">
        <f t="shared" si="96"/>
        <v/>
      </c>
      <c r="C265" s="10"/>
      <c r="D265" s="31"/>
      <c r="E265" s="12"/>
      <c r="F265" s="12"/>
      <c r="G265" s="7"/>
      <c r="H265" s="7"/>
      <c r="I265" s="7"/>
      <c r="J265" s="7"/>
      <c r="K265" s="37"/>
      <c r="L265" s="37"/>
      <c r="M265" s="37"/>
      <c r="N265" s="37"/>
      <c r="O265" s="37"/>
      <c r="P265" s="13"/>
      <c r="Q265" s="7"/>
      <c r="R265" s="7"/>
      <c r="S265" s="7"/>
      <c r="T265" s="7"/>
      <c r="U265" s="7"/>
      <c r="V265" s="31"/>
      <c r="W265" s="8"/>
      <c r="X265" s="8"/>
      <c r="Y265" s="83"/>
      <c r="Z265" s="83"/>
      <c r="AA265" s="83"/>
      <c r="AB265" s="80"/>
      <c r="AC265" s="7"/>
    </row>
    <row r="266" spans="1:29" x14ac:dyDescent="0.2">
      <c r="A266" s="7"/>
      <c r="B266" s="7" t="str">
        <f t="shared" si="96"/>
        <v/>
      </c>
      <c r="C266" s="10"/>
      <c r="D266" s="31"/>
      <c r="E266" s="12"/>
      <c r="F266" s="12"/>
      <c r="G266" s="7"/>
      <c r="H266" s="7"/>
      <c r="I266" s="7"/>
      <c r="J266" s="7"/>
      <c r="K266" s="37"/>
      <c r="L266" s="37"/>
      <c r="M266" s="37"/>
      <c r="N266" s="37"/>
      <c r="O266" s="37"/>
      <c r="P266" s="13"/>
      <c r="Q266" s="7"/>
      <c r="R266" s="7"/>
      <c r="S266" s="7"/>
      <c r="T266" s="7"/>
      <c r="U266" s="7"/>
      <c r="V266" s="31"/>
      <c r="W266" s="8"/>
      <c r="X266" s="8"/>
      <c r="Y266" s="83"/>
      <c r="Z266" s="83"/>
      <c r="AA266" s="83"/>
      <c r="AB266" s="80"/>
      <c r="AC266" s="7"/>
    </row>
    <row r="267" spans="1:29" x14ac:dyDescent="0.2">
      <c r="A267" s="7"/>
      <c r="B267" s="7" t="str">
        <f t="shared" si="96"/>
        <v/>
      </c>
      <c r="C267" s="10"/>
      <c r="D267" s="31"/>
      <c r="E267" s="12"/>
      <c r="F267" s="12"/>
      <c r="G267" s="7"/>
      <c r="H267" s="7"/>
      <c r="I267" s="7"/>
      <c r="J267" s="7"/>
      <c r="K267" s="37"/>
      <c r="L267" s="37"/>
      <c r="M267" s="37"/>
      <c r="N267" s="37"/>
      <c r="O267" s="37"/>
      <c r="P267" s="13"/>
      <c r="Q267" s="7"/>
      <c r="R267" s="7"/>
      <c r="S267" s="7"/>
      <c r="T267" s="7"/>
      <c r="U267" s="7"/>
      <c r="V267" s="31"/>
      <c r="W267" s="8"/>
      <c r="X267" s="8"/>
      <c r="Y267" s="83"/>
      <c r="Z267" s="83"/>
      <c r="AA267" s="83"/>
      <c r="AB267" s="80"/>
      <c r="AC267" s="7"/>
    </row>
    <row r="268" spans="1:29" x14ac:dyDescent="0.2">
      <c r="A268" s="7"/>
      <c r="B268" s="7" t="str">
        <f t="shared" si="96"/>
        <v/>
      </c>
      <c r="C268" s="10"/>
      <c r="D268" s="71"/>
      <c r="E268" s="12"/>
      <c r="F268" s="12"/>
      <c r="G268" s="7"/>
      <c r="H268" s="7"/>
      <c r="I268" s="7"/>
      <c r="J268" s="7"/>
      <c r="K268" s="37"/>
      <c r="L268" s="37"/>
      <c r="M268" s="37"/>
      <c r="N268" s="37"/>
      <c r="O268" s="37"/>
      <c r="P268" s="13"/>
      <c r="Q268" s="7"/>
      <c r="R268" s="7"/>
      <c r="S268" s="7"/>
      <c r="T268" s="7"/>
      <c r="U268" s="7"/>
      <c r="V268" s="71"/>
      <c r="W268" s="8"/>
      <c r="X268" s="8"/>
      <c r="Y268" s="83"/>
      <c r="Z268" s="83"/>
      <c r="AA268" s="83"/>
      <c r="AB268" s="80"/>
      <c r="AC268" s="7"/>
    </row>
    <row r="269" spans="1:29" x14ac:dyDescent="0.2">
      <c r="A269" s="7"/>
      <c r="B269" s="7" t="str">
        <f t="shared" si="96"/>
        <v/>
      </c>
      <c r="C269" s="10"/>
      <c r="D269" s="31"/>
      <c r="E269" s="12"/>
      <c r="F269" s="12"/>
      <c r="G269" s="7"/>
      <c r="H269" s="7"/>
      <c r="I269" s="7"/>
      <c r="J269" s="7"/>
      <c r="K269" s="37"/>
      <c r="L269" s="37"/>
      <c r="M269" s="37"/>
      <c r="N269" s="37"/>
      <c r="O269" s="37"/>
      <c r="P269" s="13"/>
      <c r="Q269" s="7"/>
      <c r="R269" s="7"/>
      <c r="S269" s="7"/>
      <c r="T269" s="7"/>
      <c r="U269" s="7"/>
      <c r="V269" s="31"/>
      <c r="W269" s="8"/>
      <c r="X269" s="8"/>
      <c r="Y269" s="83"/>
      <c r="Z269" s="83"/>
      <c r="AA269" s="83"/>
      <c r="AB269" s="80"/>
      <c r="AC269" s="7"/>
    </row>
    <row r="270" spans="1:29" x14ac:dyDescent="0.2">
      <c r="A270" s="7"/>
      <c r="B270" s="7" t="str">
        <f t="shared" si="96"/>
        <v/>
      </c>
      <c r="C270" s="10"/>
      <c r="D270" s="31"/>
      <c r="E270" s="12"/>
      <c r="F270" s="12"/>
      <c r="G270" s="7"/>
      <c r="H270" s="7"/>
      <c r="I270" s="7"/>
      <c r="J270" s="7"/>
      <c r="K270" s="37"/>
      <c r="L270" s="37"/>
      <c r="M270" s="37"/>
      <c r="N270" s="37"/>
      <c r="O270" s="37"/>
      <c r="P270" s="13"/>
      <c r="Q270" s="7"/>
      <c r="R270" s="7"/>
      <c r="S270" s="7"/>
      <c r="T270" s="7"/>
      <c r="U270" s="7"/>
      <c r="V270" s="31"/>
      <c r="W270" s="8"/>
      <c r="X270" s="8"/>
      <c r="Y270" s="83"/>
      <c r="Z270" s="83"/>
      <c r="AA270" s="83"/>
      <c r="AB270" s="80"/>
      <c r="AC270" s="7"/>
    </row>
    <row r="271" spans="1:29" x14ac:dyDescent="0.2">
      <c r="A271" s="7"/>
      <c r="B271" s="7" t="str">
        <f t="shared" si="96"/>
        <v/>
      </c>
      <c r="C271" s="10"/>
      <c r="D271" s="31"/>
      <c r="E271" s="12"/>
      <c r="F271" s="12"/>
      <c r="G271" s="7"/>
      <c r="H271" s="7"/>
      <c r="I271" s="7"/>
      <c r="J271" s="7"/>
      <c r="K271" s="37"/>
      <c r="L271" s="37"/>
      <c r="M271" s="37"/>
      <c r="N271" s="37"/>
      <c r="O271" s="37"/>
      <c r="P271" s="13"/>
      <c r="Q271" s="7"/>
      <c r="R271" s="7"/>
      <c r="S271" s="7"/>
      <c r="T271" s="7"/>
      <c r="U271" s="7"/>
      <c r="V271" s="31"/>
      <c r="W271" s="8"/>
      <c r="X271" s="8"/>
      <c r="Y271" s="83"/>
      <c r="Z271" s="83"/>
      <c r="AA271" s="83"/>
      <c r="AB271" s="80"/>
      <c r="AC271" s="7"/>
    </row>
    <row r="272" spans="1:29" x14ac:dyDescent="0.2">
      <c r="A272" s="7"/>
      <c r="B272" s="7" t="str">
        <f t="shared" si="96"/>
        <v/>
      </c>
      <c r="C272" s="10"/>
      <c r="D272" s="31"/>
      <c r="E272" s="12"/>
      <c r="F272" s="12"/>
      <c r="G272" s="7"/>
      <c r="H272" s="7"/>
      <c r="I272" s="7"/>
      <c r="J272" s="7"/>
      <c r="K272" s="37"/>
      <c r="L272" s="37"/>
      <c r="M272" s="37"/>
      <c r="N272" s="37"/>
      <c r="O272" s="37"/>
      <c r="P272" s="13"/>
      <c r="Q272" s="7"/>
      <c r="R272" s="7"/>
      <c r="S272" s="7"/>
      <c r="T272" s="7"/>
      <c r="U272" s="7"/>
      <c r="V272" s="31"/>
      <c r="W272" s="8"/>
      <c r="X272" s="8"/>
      <c r="Y272" s="83"/>
      <c r="Z272" s="83"/>
      <c r="AA272" s="83"/>
      <c r="AB272" s="80"/>
      <c r="AC272" s="7"/>
    </row>
    <row r="273" spans="1:29" x14ac:dyDescent="0.2">
      <c r="A273" s="7"/>
      <c r="B273" s="7" t="str">
        <f t="shared" si="96"/>
        <v/>
      </c>
      <c r="C273" s="10"/>
      <c r="D273" s="31"/>
      <c r="E273" s="12"/>
      <c r="F273" s="12"/>
      <c r="G273" s="7"/>
      <c r="H273" s="7"/>
      <c r="I273" s="7"/>
      <c r="J273" s="7"/>
      <c r="K273" s="37"/>
      <c r="L273" s="37"/>
      <c r="M273" s="37"/>
      <c r="N273" s="37"/>
      <c r="O273" s="37"/>
      <c r="P273" s="13"/>
      <c r="Q273" s="7"/>
      <c r="R273" s="7"/>
      <c r="S273" s="7"/>
      <c r="T273" s="7"/>
      <c r="U273" s="7"/>
      <c r="V273" s="31"/>
      <c r="W273" s="8"/>
      <c r="X273" s="8"/>
      <c r="Y273" s="83"/>
      <c r="Z273" s="83"/>
      <c r="AA273" s="83"/>
      <c r="AB273" s="80"/>
      <c r="AC273" s="7"/>
    </row>
    <row r="274" spans="1:29" x14ac:dyDescent="0.2">
      <c r="A274" s="7"/>
      <c r="B274" s="7" t="str">
        <f t="shared" si="96"/>
        <v/>
      </c>
      <c r="C274" s="10"/>
      <c r="D274" s="31"/>
      <c r="E274" s="12"/>
      <c r="F274" s="12"/>
      <c r="G274" s="7"/>
      <c r="H274" s="7"/>
      <c r="I274" s="7"/>
      <c r="J274" s="23"/>
      <c r="K274" s="37"/>
      <c r="L274" s="37"/>
      <c r="M274" s="37"/>
      <c r="N274" s="37"/>
      <c r="O274" s="37"/>
      <c r="P274" s="13"/>
      <c r="Q274" s="7"/>
      <c r="R274" s="7"/>
      <c r="S274" s="7"/>
      <c r="T274" s="7"/>
      <c r="U274" s="7"/>
      <c r="V274" s="31"/>
      <c r="W274" s="8"/>
      <c r="X274" s="8"/>
      <c r="Y274" s="83"/>
      <c r="Z274" s="83"/>
      <c r="AA274" s="83"/>
      <c r="AB274" s="80"/>
      <c r="AC274" s="7"/>
    </row>
    <row r="275" spans="1:29" x14ac:dyDescent="0.2">
      <c r="A275" s="7"/>
      <c r="B275" s="7" t="str">
        <f t="shared" ref="B275:B338" si="97">LEFT(C275,12)</f>
        <v/>
      </c>
      <c r="C275" s="10"/>
      <c r="D275" s="31"/>
      <c r="E275" s="12"/>
      <c r="F275" s="12"/>
      <c r="G275" s="7"/>
      <c r="H275" s="7"/>
      <c r="I275" s="7"/>
      <c r="J275" s="7"/>
      <c r="K275" s="37"/>
      <c r="L275" s="37"/>
      <c r="M275" s="37"/>
      <c r="N275" s="37"/>
      <c r="O275" s="37"/>
      <c r="P275" s="13"/>
      <c r="Q275" s="7"/>
      <c r="R275" s="7"/>
      <c r="S275" s="7"/>
      <c r="T275" s="7"/>
      <c r="U275" s="7"/>
      <c r="V275" s="31"/>
      <c r="W275" s="8"/>
      <c r="X275" s="8"/>
      <c r="Y275" s="83"/>
      <c r="Z275" s="83"/>
      <c r="AA275" s="83"/>
      <c r="AB275" s="80"/>
      <c r="AC275" s="7"/>
    </row>
    <row r="276" spans="1:29" x14ac:dyDescent="0.2">
      <c r="A276" s="7"/>
      <c r="B276" s="7" t="str">
        <f t="shared" si="97"/>
        <v/>
      </c>
      <c r="C276" s="10"/>
      <c r="D276" s="31"/>
      <c r="E276" s="12"/>
      <c r="F276" s="12"/>
      <c r="G276" s="7"/>
      <c r="H276" s="7"/>
      <c r="I276" s="7"/>
      <c r="J276" s="7"/>
      <c r="K276" s="37"/>
      <c r="L276" s="37"/>
      <c r="M276" s="37"/>
      <c r="N276" s="37"/>
      <c r="O276" s="37"/>
      <c r="P276" s="13"/>
      <c r="Q276" s="7"/>
      <c r="R276" s="7"/>
      <c r="S276" s="7"/>
      <c r="T276" s="7"/>
      <c r="U276" s="7"/>
      <c r="V276" s="31"/>
      <c r="W276" s="8"/>
      <c r="X276" s="8"/>
      <c r="Y276" s="83"/>
      <c r="Z276" s="83"/>
      <c r="AA276" s="83"/>
      <c r="AB276" s="80"/>
      <c r="AC276" s="7"/>
    </row>
    <row r="277" spans="1:29" x14ac:dyDescent="0.2">
      <c r="A277" s="7"/>
      <c r="B277" s="7" t="str">
        <f t="shared" si="97"/>
        <v/>
      </c>
      <c r="C277" s="10"/>
      <c r="D277" s="31"/>
      <c r="E277" s="12"/>
      <c r="F277" s="12"/>
      <c r="G277" s="7"/>
      <c r="H277" s="7"/>
      <c r="I277" s="7"/>
      <c r="J277" s="7"/>
      <c r="K277" s="37"/>
      <c r="L277" s="37"/>
      <c r="M277" s="37"/>
      <c r="N277" s="37"/>
      <c r="O277" s="37"/>
      <c r="P277" s="13"/>
      <c r="Q277" s="7"/>
      <c r="R277" s="7"/>
      <c r="S277" s="7"/>
      <c r="T277" s="7"/>
      <c r="U277" s="7"/>
      <c r="V277" s="31"/>
      <c r="W277" s="8"/>
      <c r="X277" s="8"/>
      <c r="Y277" s="83"/>
      <c r="Z277" s="83"/>
      <c r="AA277" s="83"/>
      <c r="AB277" s="80"/>
      <c r="AC277" s="7"/>
    </row>
    <row r="278" spans="1:29" x14ac:dyDescent="0.2">
      <c r="A278" s="7"/>
      <c r="B278" s="7" t="str">
        <f t="shared" si="97"/>
        <v/>
      </c>
      <c r="C278" s="10"/>
      <c r="D278" s="31"/>
      <c r="E278" s="12"/>
      <c r="F278" s="12"/>
      <c r="G278" s="7"/>
      <c r="H278" s="7"/>
      <c r="I278" s="7"/>
      <c r="J278" s="7"/>
      <c r="K278" s="37"/>
      <c r="L278" s="37"/>
      <c r="M278" s="37"/>
      <c r="N278" s="37"/>
      <c r="O278" s="37"/>
      <c r="P278" s="13"/>
      <c r="Q278" s="7"/>
      <c r="R278" s="7"/>
      <c r="S278" s="7"/>
      <c r="T278" s="7"/>
      <c r="U278" s="7"/>
      <c r="V278" s="31"/>
      <c r="W278" s="8"/>
      <c r="X278" s="8"/>
      <c r="Y278" s="83"/>
      <c r="Z278" s="83"/>
      <c r="AA278" s="83"/>
      <c r="AB278" s="80"/>
      <c r="AC278" s="7"/>
    </row>
    <row r="279" spans="1:29" x14ac:dyDescent="0.2">
      <c r="A279" s="7"/>
      <c r="B279" s="7" t="str">
        <f t="shared" si="97"/>
        <v/>
      </c>
      <c r="C279" s="10"/>
      <c r="D279" s="31"/>
      <c r="E279" s="12"/>
      <c r="F279" s="12"/>
      <c r="G279" s="7"/>
      <c r="H279" s="7"/>
      <c r="I279" s="7"/>
      <c r="J279" s="7"/>
      <c r="K279" s="37"/>
      <c r="L279" s="37"/>
      <c r="M279" s="37"/>
      <c r="N279" s="37"/>
      <c r="O279" s="37"/>
      <c r="P279" s="13"/>
      <c r="Q279" s="7"/>
      <c r="R279" s="7"/>
      <c r="S279" s="7"/>
      <c r="T279" s="7"/>
      <c r="U279" s="7"/>
      <c r="V279" s="31"/>
      <c r="W279" s="8"/>
      <c r="X279" s="8"/>
      <c r="Y279" s="83"/>
      <c r="Z279" s="83"/>
      <c r="AA279" s="83"/>
      <c r="AB279" s="80"/>
      <c r="AC279" s="7"/>
    </row>
    <row r="280" spans="1:29" x14ac:dyDescent="0.2">
      <c r="A280" s="7"/>
      <c r="B280" s="7" t="str">
        <f t="shared" si="97"/>
        <v/>
      </c>
      <c r="C280" s="10"/>
      <c r="D280" s="31"/>
      <c r="E280" s="12"/>
      <c r="F280" s="12"/>
      <c r="G280" s="7"/>
      <c r="H280" s="7"/>
      <c r="I280" s="7"/>
      <c r="J280" s="7"/>
      <c r="K280" s="37"/>
      <c r="L280" s="37"/>
      <c r="M280" s="37"/>
      <c r="N280" s="37"/>
      <c r="O280" s="37"/>
      <c r="P280" s="13"/>
      <c r="Q280" s="7"/>
      <c r="R280" s="7"/>
      <c r="S280" s="7"/>
      <c r="T280" s="7"/>
      <c r="U280" s="7"/>
      <c r="V280" s="31"/>
      <c r="W280" s="8"/>
      <c r="X280" s="8"/>
      <c r="Y280" s="83"/>
      <c r="Z280" s="83"/>
      <c r="AA280" s="83"/>
      <c r="AB280" s="80"/>
      <c r="AC280" s="7"/>
    </row>
    <row r="281" spans="1:29" x14ac:dyDescent="0.2">
      <c r="A281" s="7"/>
      <c r="B281" s="7" t="str">
        <f t="shared" si="97"/>
        <v/>
      </c>
      <c r="C281" s="10"/>
      <c r="D281" s="31"/>
      <c r="E281" s="12"/>
      <c r="F281" s="12"/>
      <c r="G281" s="7"/>
      <c r="H281" s="7"/>
      <c r="I281" s="7"/>
      <c r="J281" s="7"/>
      <c r="K281" s="37"/>
      <c r="L281" s="37"/>
      <c r="M281" s="37"/>
      <c r="N281" s="37"/>
      <c r="O281" s="37"/>
      <c r="P281" s="13"/>
      <c r="Q281" s="7"/>
      <c r="R281" s="7"/>
      <c r="S281" s="7"/>
      <c r="T281" s="7"/>
      <c r="U281" s="7"/>
      <c r="V281" s="31"/>
      <c r="W281" s="8"/>
      <c r="X281" s="8"/>
      <c r="Y281" s="83"/>
      <c r="Z281" s="83"/>
      <c r="AA281" s="83"/>
      <c r="AB281" s="80"/>
      <c r="AC281" s="7"/>
    </row>
    <row r="282" spans="1:29" x14ac:dyDescent="0.2">
      <c r="A282" s="7"/>
      <c r="B282" s="7" t="str">
        <f t="shared" si="97"/>
        <v/>
      </c>
      <c r="C282" s="49"/>
      <c r="D282" s="31"/>
      <c r="E282" s="12"/>
      <c r="F282" s="12"/>
      <c r="G282" s="7"/>
      <c r="H282" s="7"/>
      <c r="I282" s="7"/>
      <c r="J282" s="7"/>
      <c r="K282" s="37"/>
      <c r="L282" s="37"/>
      <c r="M282" s="37"/>
      <c r="N282" s="37"/>
      <c r="O282" s="37"/>
      <c r="P282" s="13"/>
      <c r="Q282" s="7"/>
      <c r="R282" s="7"/>
      <c r="S282" s="7"/>
      <c r="T282" s="7"/>
      <c r="U282" s="7"/>
      <c r="V282" s="31"/>
      <c r="W282" s="8"/>
      <c r="X282" s="8"/>
      <c r="Y282" s="83"/>
      <c r="Z282" s="83"/>
      <c r="AA282" s="83"/>
      <c r="AB282" s="80"/>
      <c r="AC282" s="7"/>
    </row>
    <row r="283" spans="1:29" x14ac:dyDescent="0.2">
      <c r="A283" s="7"/>
      <c r="B283" s="7" t="str">
        <f t="shared" si="97"/>
        <v/>
      </c>
      <c r="C283" s="10"/>
      <c r="D283" s="31"/>
      <c r="E283" s="12"/>
      <c r="F283" s="12"/>
      <c r="G283" s="7"/>
      <c r="H283" s="7"/>
      <c r="I283" s="7"/>
      <c r="J283" s="7"/>
      <c r="K283" s="37"/>
      <c r="L283" s="37"/>
      <c r="M283" s="37"/>
      <c r="N283" s="37"/>
      <c r="O283" s="37"/>
      <c r="P283" s="13"/>
      <c r="Q283" s="7"/>
      <c r="R283" s="7"/>
      <c r="S283" s="7"/>
      <c r="T283" s="7"/>
      <c r="U283" s="7"/>
      <c r="V283" s="31"/>
      <c r="W283" s="8"/>
      <c r="X283" s="8"/>
      <c r="Y283" s="83"/>
      <c r="Z283" s="83"/>
      <c r="AA283" s="83"/>
      <c r="AB283" s="80"/>
      <c r="AC283" s="7"/>
    </row>
    <row r="284" spans="1:29" x14ac:dyDescent="0.2">
      <c r="A284" s="7"/>
      <c r="B284" s="7" t="str">
        <f t="shared" si="97"/>
        <v/>
      </c>
      <c r="C284" s="10"/>
      <c r="D284" s="31"/>
      <c r="E284" s="12"/>
      <c r="F284" s="12"/>
      <c r="G284" s="7"/>
      <c r="H284" s="7"/>
      <c r="I284" s="7"/>
      <c r="J284" s="7"/>
      <c r="K284" s="37"/>
      <c r="L284" s="37"/>
      <c r="M284" s="37"/>
      <c r="N284" s="37"/>
      <c r="O284" s="37"/>
      <c r="P284" s="13"/>
      <c r="Q284" s="7"/>
      <c r="R284" s="7"/>
      <c r="S284" s="7"/>
      <c r="T284" s="7"/>
      <c r="U284" s="7"/>
      <c r="V284" s="31"/>
      <c r="W284" s="8"/>
      <c r="X284" s="8"/>
      <c r="Y284" s="83"/>
      <c r="Z284" s="83"/>
      <c r="AA284" s="83"/>
      <c r="AB284" s="80"/>
      <c r="AC284" s="7"/>
    </row>
    <row r="285" spans="1:29" x14ac:dyDescent="0.2">
      <c r="A285" s="7"/>
      <c r="B285" s="7" t="str">
        <f t="shared" si="97"/>
        <v/>
      </c>
      <c r="C285" s="10"/>
      <c r="D285" s="31"/>
      <c r="E285" s="12"/>
      <c r="F285" s="12"/>
      <c r="G285" s="7"/>
      <c r="H285" s="7"/>
      <c r="I285" s="7"/>
      <c r="J285" s="7"/>
      <c r="K285" s="37"/>
      <c r="L285" s="37"/>
      <c r="M285" s="37"/>
      <c r="N285" s="37"/>
      <c r="O285" s="37"/>
      <c r="P285" s="13"/>
      <c r="Q285" s="7"/>
      <c r="R285" s="7"/>
      <c r="S285" s="7"/>
      <c r="T285" s="7"/>
      <c r="U285" s="7"/>
      <c r="V285" s="31"/>
      <c r="W285" s="8"/>
      <c r="X285" s="8"/>
      <c r="Y285" s="83"/>
      <c r="Z285" s="83"/>
      <c r="AA285" s="83"/>
      <c r="AB285" s="80"/>
      <c r="AC285" s="7"/>
    </row>
    <row r="286" spans="1:29" x14ac:dyDescent="0.2">
      <c r="A286" s="7"/>
      <c r="B286" s="7" t="str">
        <f t="shared" si="97"/>
        <v/>
      </c>
      <c r="C286" s="10"/>
      <c r="D286" s="31"/>
      <c r="E286" s="12"/>
      <c r="F286" s="12"/>
      <c r="G286" s="7"/>
      <c r="H286" s="7"/>
      <c r="I286" s="7"/>
      <c r="J286" s="7"/>
      <c r="K286" s="37"/>
      <c r="L286" s="37"/>
      <c r="M286" s="37"/>
      <c r="N286" s="37"/>
      <c r="O286" s="37"/>
      <c r="P286" s="13"/>
      <c r="Q286" s="7"/>
      <c r="R286" s="7"/>
      <c r="S286" s="7"/>
      <c r="T286" s="7"/>
      <c r="U286" s="7"/>
      <c r="V286" s="31"/>
      <c r="W286" s="8"/>
      <c r="X286" s="8"/>
      <c r="Y286" s="83"/>
      <c r="Z286" s="83"/>
      <c r="AA286" s="83"/>
      <c r="AB286" s="80"/>
      <c r="AC286" s="7"/>
    </row>
    <row r="287" spans="1:29" x14ac:dyDescent="0.2">
      <c r="A287" s="7"/>
      <c r="B287" s="7" t="str">
        <f t="shared" si="97"/>
        <v/>
      </c>
      <c r="C287" s="10"/>
      <c r="D287" s="31"/>
      <c r="E287" s="12"/>
      <c r="F287" s="12"/>
      <c r="G287" s="7"/>
      <c r="H287" s="7"/>
      <c r="I287" s="7"/>
      <c r="J287" s="7"/>
      <c r="K287" s="37"/>
      <c r="L287" s="37"/>
      <c r="M287" s="37"/>
      <c r="N287" s="37"/>
      <c r="O287" s="37"/>
      <c r="P287" s="13"/>
      <c r="Q287" s="7"/>
      <c r="R287" s="7"/>
      <c r="S287" s="7"/>
      <c r="T287" s="7"/>
      <c r="U287" s="7"/>
      <c r="V287" s="31"/>
      <c r="W287" s="8"/>
      <c r="X287" s="8"/>
      <c r="Y287" s="83"/>
      <c r="Z287" s="83"/>
      <c r="AA287" s="83"/>
      <c r="AB287" s="80"/>
      <c r="AC287" s="7"/>
    </row>
    <row r="288" spans="1:29" x14ac:dyDescent="0.2">
      <c r="A288" s="7"/>
      <c r="B288" s="7" t="str">
        <f t="shared" si="97"/>
        <v/>
      </c>
      <c r="C288" s="10"/>
      <c r="D288" s="31"/>
      <c r="E288" s="12"/>
      <c r="F288" s="12"/>
      <c r="G288" s="7"/>
      <c r="H288" s="7"/>
      <c r="I288" s="7"/>
      <c r="J288" s="7"/>
      <c r="K288" s="37"/>
      <c r="L288" s="37"/>
      <c r="M288" s="37"/>
      <c r="N288" s="37"/>
      <c r="O288" s="37"/>
      <c r="P288" s="13"/>
      <c r="Q288" s="7"/>
      <c r="R288" s="12"/>
      <c r="S288" s="12"/>
      <c r="T288" s="12"/>
      <c r="U288" s="12"/>
      <c r="V288" s="31"/>
      <c r="W288" s="8"/>
      <c r="X288" s="8"/>
      <c r="Y288" s="83"/>
      <c r="Z288" s="83"/>
      <c r="AA288" s="83"/>
      <c r="AB288" s="80"/>
      <c r="AC288" s="7"/>
    </row>
    <row r="289" spans="1:29" x14ac:dyDescent="0.2">
      <c r="A289" s="7"/>
      <c r="B289" s="7" t="str">
        <f t="shared" si="97"/>
        <v/>
      </c>
      <c r="C289" s="10"/>
      <c r="D289" s="31"/>
      <c r="E289" s="12"/>
      <c r="F289" s="12"/>
      <c r="G289" s="7"/>
      <c r="H289" s="7"/>
      <c r="I289" s="7"/>
      <c r="J289" s="7"/>
      <c r="K289" s="37"/>
      <c r="L289" s="37"/>
      <c r="M289" s="37"/>
      <c r="N289" s="37"/>
      <c r="O289" s="37"/>
      <c r="P289" s="13"/>
      <c r="Q289" s="7"/>
      <c r="R289" s="7"/>
      <c r="S289" s="7"/>
      <c r="T289" s="7"/>
      <c r="U289" s="7"/>
      <c r="V289" s="31"/>
      <c r="W289" s="8"/>
      <c r="X289" s="8"/>
      <c r="Y289" s="83"/>
      <c r="Z289" s="83"/>
      <c r="AA289" s="83"/>
      <c r="AB289" s="80"/>
      <c r="AC289" s="7"/>
    </row>
    <row r="290" spans="1:29" x14ac:dyDescent="0.2">
      <c r="A290" s="7"/>
      <c r="B290" s="7" t="str">
        <f t="shared" si="97"/>
        <v/>
      </c>
      <c r="C290" s="10"/>
      <c r="D290" s="31"/>
      <c r="E290" s="12"/>
      <c r="F290" s="12"/>
      <c r="G290" s="7"/>
      <c r="H290" s="7"/>
      <c r="I290" s="7"/>
      <c r="J290" s="23"/>
      <c r="K290" s="37"/>
      <c r="L290" s="37"/>
      <c r="M290" s="37"/>
      <c r="N290" s="37"/>
      <c r="O290" s="37"/>
      <c r="P290" s="13"/>
      <c r="Q290" s="7"/>
      <c r="R290" s="7"/>
      <c r="S290" s="7"/>
      <c r="T290" s="7"/>
      <c r="U290" s="7"/>
      <c r="V290" s="31"/>
      <c r="W290" s="8"/>
      <c r="X290" s="8"/>
      <c r="Y290" s="83"/>
      <c r="Z290" s="83"/>
      <c r="AA290" s="83"/>
      <c r="AB290" s="80"/>
      <c r="AC290" s="7"/>
    </row>
    <row r="291" spans="1:29" x14ac:dyDescent="0.2">
      <c r="A291" s="7"/>
      <c r="B291" s="7" t="str">
        <f t="shared" si="97"/>
        <v/>
      </c>
      <c r="C291" s="10"/>
      <c r="D291" s="31"/>
      <c r="E291" s="12"/>
      <c r="F291" s="12"/>
      <c r="G291" s="7"/>
      <c r="H291" s="7"/>
      <c r="I291" s="7"/>
      <c r="J291" s="7"/>
      <c r="K291" s="37"/>
      <c r="L291" s="37"/>
      <c r="M291" s="37"/>
      <c r="N291" s="37"/>
      <c r="O291" s="37"/>
      <c r="P291" s="13"/>
      <c r="Q291" s="7"/>
      <c r="R291" s="7"/>
      <c r="S291" s="7"/>
      <c r="T291" s="7"/>
      <c r="U291" s="7"/>
      <c r="V291" s="31"/>
      <c r="W291" s="8"/>
      <c r="X291" s="8"/>
      <c r="Y291" s="83"/>
      <c r="Z291" s="83"/>
      <c r="AA291" s="83"/>
      <c r="AB291" s="80"/>
      <c r="AC291" s="7"/>
    </row>
    <row r="292" spans="1:29" x14ac:dyDescent="0.2">
      <c r="A292" s="7"/>
      <c r="B292" s="7" t="str">
        <f t="shared" si="97"/>
        <v/>
      </c>
      <c r="C292" s="10"/>
      <c r="D292" s="31"/>
      <c r="E292" s="12"/>
      <c r="F292" s="12"/>
      <c r="G292" s="7"/>
      <c r="H292" s="7"/>
      <c r="I292" s="7"/>
      <c r="J292" s="7"/>
      <c r="K292" s="37"/>
      <c r="L292" s="37"/>
      <c r="M292" s="37"/>
      <c r="N292" s="37"/>
      <c r="O292" s="37"/>
      <c r="P292" s="13"/>
      <c r="Q292" s="7"/>
      <c r="R292" s="7"/>
      <c r="S292" s="7"/>
      <c r="T292" s="7"/>
      <c r="U292" s="7"/>
      <c r="V292" s="31"/>
      <c r="W292" s="8"/>
      <c r="X292" s="8"/>
      <c r="Y292" s="83"/>
      <c r="Z292" s="83"/>
      <c r="AA292" s="83"/>
      <c r="AB292" s="80"/>
      <c r="AC292" s="7"/>
    </row>
    <row r="293" spans="1:29" x14ac:dyDescent="0.2">
      <c r="A293" s="7"/>
      <c r="B293" s="7" t="str">
        <f t="shared" si="97"/>
        <v/>
      </c>
      <c r="C293" s="10"/>
      <c r="D293" s="31"/>
      <c r="E293" s="12"/>
      <c r="F293" s="12"/>
      <c r="G293" s="7"/>
      <c r="H293" s="7"/>
      <c r="I293" s="7"/>
      <c r="J293" s="7"/>
      <c r="K293" s="37"/>
      <c r="L293" s="37"/>
      <c r="M293" s="37"/>
      <c r="N293" s="37"/>
      <c r="O293" s="37"/>
      <c r="P293" s="13"/>
      <c r="Q293" s="7"/>
      <c r="R293" s="7"/>
      <c r="S293" s="7"/>
      <c r="T293" s="7"/>
      <c r="U293" s="7"/>
      <c r="V293" s="31"/>
      <c r="W293" s="8"/>
      <c r="X293" s="8"/>
      <c r="Y293" s="83"/>
      <c r="Z293" s="83"/>
      <c r="AA293" s="83"/>
      <c r="AB293" s="80"/>
      <c r="AC293" s="7"/>
    </row>
    <row r="294" spans="1:29" x14ac:dyDescent="0.2">
      <c r="A294" s="7"/>
      <c r="B294" s="7" t="str">
        <f t="shared" si="97"/>
        <v/>
      </c>
      <c r="C294" s="49"/>
      <c r="D294" s="31"/>
      <c r="E294" s="12"/>
      <c r="F294" s="12"/>
      <c r="G294" s="7"/>
      <c r="H294" s="7"/>
      <c r="I294" s="7"/>
      <c r="J294" s="7"/>
      <c r="K294" s="37"/>
      <c r="L294" s="37"/>
      <c r="M294" s="37"/>
      <c r="N294" s="37"/>
      <c r="O294" s="37"/>
      <c r="P294" s="13"/>
      <c r="Q294" s="7"/>
      <c r="R294" s="7"/>
      <c r="S294" s="7"/>
      <c r="T294" s="7"/>
      <c r="U294" s="7"/>
      <c r="V294" s="31"/>
      <c r="W294" s="8"/>
      <c r="X294" s="8"/>
      <c r="Y294" s="83"/>
      <c r="Z294" s="83"/>
      <c r="AA294" s="83"/>
      <c r="AB294" s="80"/>
      <c r="AC294" s="7"/>
    </row>
    <row r="295" spans="1:29" x14ac:dyDescent="0.2">
      <c r="A295" s="7"/>
      <c r="B295" s="7" t="str">
        <f t="shared" si="97"/>
        <v/>
      </c>
      <c r="C295" s="10"/>
      <c r="D295" s="31"/>
      <c r="E295" s="12"/>
      <c r="F295" s="12"/>
      <c r="G295" s="7"/>
      <c r="H295" s="7"/>
      <c r="I295" s="7"/>
      <c r="J295" s="7"/>
      <c r="K295" s="37"/>
      <c r="L295" s="37"/>
      <c r="M295" s="37"/>
      <c r="N295" s="37"/>
      <c r="O295" s="37"/>
      <c r="P295" s="13"/>
      <c r="Q295" s="7"/>
      <c r="R295" s="7"/>
      <c r="S295" s="7"/>
      <c r="T295" s="7"/>
      <c r="U295" s="7"/>
      <c r="V295" s="31"/>
      <c r="W295" s="8"/>
      <c r="X295" s="8"/>
      <c r="Y295" s="83"/>
      <c r="Z295" s="83"/>
      <c r="AA295" s="83"/>
      <c r="AB295" s="80"/>
      <c r="AC295" s="7"/>
    </row>
    <row r="296" spans="1:29" x14ac:dyDescent="0.2">
      <c r="A296" s="7"/>
      <c r="B296" s="7" t="str">
        <f t="shared" si="97"/>
        <v/>
      </c>
      <c r="C296" s="10"/>
      <c r="D296" s="31"/>
      <c r="E296" s="12"/>
      <c r="F296" s="12"/>
      <c r="G296" s="7"/>
      <c r="H296" s="7"/>
      <c r="I296" s="7"/>
      <c r="J296" s="7"/>
      <c r="K296" s="37"/>
      <c r="L296" s="37"/>
      <c r="M296" s="37"/>
      <c r="N296" s="37"/>
      <c r="O296" s="37"/>
      <c r="P296" s="13"/>
      <c r="Q296" s="7"/>
      <c r="R296" s="7"/>
      <c r="S296" s="7"/>
      <c r="T296" s="7"/>
      <c r="U296" s="7"/>
      <c r="V296" s="31"/>
      <c r="W296" s="8"/>
      <c r="X296" s="8"/>
      <c r="Y296" s="83"/>
      <c r="Z296" s="83"/>
      <c r="AA296" s="83"/>
      <c r="AB296" s="80"/>
      <c r="AC296" s="7"/>
    </row>
    <row r="297" spans="1:29" x14ac:dyDescent="0.2">
      <c r="A297" s="7"/>
      <c r="B297" s="7" t="str">
        <f t="shared" si="97"/>
        <v/>
      </c>
      <c r="C297" s="20"/>
      <c r="D297" s="31"/>
      <c r="E297" s="38"/>
      <c r="F297" s="38"/>
      <c r="G297" s="21"/>
      <c r="H297" s="21"/>
      <c r="I297" s="21"/>
      <c r="J297" s="7"/>
      <c r="K297" s="39"/>
      <c r="L297" s="39"/>
      <c r="M297" s="39"/>
      <c r="N297" s="39"/>
      <c r="O297" s="39"/>
      <c r="P297" s="13"/>
      <c r="Q297" s="21"/>
      <c r="R297" s="21"/>
      <c r="S297" s="21"/>
      <c r="T297" s="21"/>
      <c r="U297" s="21"/>
      <c r="V297" s="31"/>
      <c r="W297" s="8"/>
      <c r="X297" s="8"/>
      <c r="Y297" s="83"/>
      <c r="Z297" s="83"/>
      <c r="AA297" s="83"/>
      <c r="AB297" s="80"/>
      <c r="AC297" s="7"/>
    </row>
    <row r="298" spans="1:29" x14ac:dyDescent="0.2">
      <c r="A298" s="7"/>
      <c r="B298" s="7" t="str">
        <f t="shared" si="97"/>
        <v/>
      </c>
      <c r="C298" s="22"/>
      <c r="D298" s="31"/>
      <c r="E298" s="26"/>
      <c r="F298" s="26"/>
      <c r="G298" s="23"/>
      <c r="H298" s="23"/>
      <c r="I298" s="23"/>
      <c r="J298" s="7"/>
      <c r="K298" s="40"/>
      <c r="L298" s="137"/>
      <c r="M298" s="137"/>
      <c r="N298" s="137"/>
      <c r="O298" s="137"/>
      <c r="P298" s="13"/>
      <c r="Q298" s="23"/>
      <c r="R298" s="23"/>
      <c r="S298" s="23"/>
      <c r="T298" s="23"/>
      <c r="U298" s="23"/>
      <c r="V298" s="31"/>
      <c r="W298" s="8"/>
      <c r="X298" s="8"/>
      <c r="Y298" s="83"/>
      <c r="Z298" s="83"/>
      <c r="AA298" s="83"/>
      <c r="AB298" s="80"/>
      <c r="AC298" s="7"/>
    </row>
    <row r="299" spans="1:29" x14ac:dyDescent="0.2">
      <c r="A299" s="7"/>
      <c r="B299" s="7" t="str">
        <f t="shared" si="97"/>
        <v/>
      </c>
      <c r="C299" s="22"/>
      <c r="D299" s="31"/>
      <c r="E299" s="26"/>
      <c r="F299" s="26"/>
      <c r="G299" s="23"/>
      <c r="H299" s="23"/>
      <c r="I299" s="23"/>
      <c r="J299" s="23"/>
      <c r="K299" s="40"/>
      <c r="L299" s="40"/>
      <c r="M299" s="40"/>
      <c r="N299" s="40"/>
      <c r="O299" s="40"/>
      <c r="P299" s="24"/>
      <c r="Q299" s="23"/>
      <c r="R299" s="23"/>
      <c r="S299" s="23"/>
      <c r="T299" s="23"/>
      <c r="U299" s="23"/>
      <c r="V299" s="31"/>
      <c r="W299" s="8"/>
      <c r="X299" s="8"/>
      <c r="Y299" s="83"/>
      <c r="Z299" s="83"/>
      <c r="AA299" s="83"/>
      <c r="AB299" s="80"/>
      <c r="AC299" s="7"/>
    </row>
    <row r="300" spans="1:29" x14ac:dyDescent="0.2">
      <c r="A300" s="7"/>
      <c r="B300" s="7" t="str">
        <f t="shared" si="97"/>
        <v/>
      </c>
      <c r="C300" s="22"/>
      <c r="D300" s="31"/>
      <c r="E300" s="26"/>
      <c r="F300" s="26"/>
      <c r="G300" s="23"/>
      <c r="H300" s="23"/>
      <c r="I300" s="23"/>
      <c r="J300" s="7"/>
      <c r="K300" s="40"/>
      <c r="L300" s="40"/>
      <c r="M300" s="40"/>
      <c r="N300" s="40"/>
      <c r="O300" s="40"/>
      <c r="P300" s="24"/>
      <c r="Q300" s="23"/>
      <c r="R300" s="23"/>
      <c r="S300" s="23"/>
      <c r="T300" s="23"/>
      <c r="U300" s="23"/>
      <c r="V300" s="31"/>
      <c r="W300" s="8"/>
      <c r="X300" s="8"/>
      <c r="Y300" s="83"/>
      <c r="Z300" s="83"/>
      <c r="AA300" s="83"/>
      <c r="AB300" s="80"/>
      <c r="AC300" s="7"/>
    </row>
    <row r="301" spans="1:29" x14ac:dyDescent="0.2">
      <c r="A301" s="7"/>
      <c r="B301" s="7" t="str">
        <f t="shared" si="97"/>
        <v/>
      </c>
      <c r="C301" s="22"/>
      <c r="D301" s="31"/>
      <c r="E301" s="26"/>
      <c r="F301" s="26"/>
      <c r="G301" s="23"/>
      <c r="H301" s="23"/>
      <c r="I301" s="23"/>
      <c r="J301" s="23"/>
      <c r="K301" s="40"/>
      <c r="L301" s="40"/>
      <c r="M301" s="40"/>
      <c r="N301" s="40"/>
      <c r="O301" s="40"/>
      <c r="P301" s="24"/>
      <c r="Q301" s="23"/>
      <c r="R301" s="23"/>
      <c r="S301" s="23"/>
      <c r="T301" s="23"/>
      <c r="U301" s="23"/>
      <c r="V301" s="31"/>
      <c r="W301" s="8"/>
      <c r="X301" s="8"/>
      <c r="Y301" s="83"/>
      <c r="Z301" s="83"/>
      <c r="AA301" s="83"/>
      <c r="AB301" s="80"/>
      <c r="AC301" s="7"/>
    </row>
    <row r="302" spans="1:29" x14ac:dyDescent="0.2">
      <c r="A302" s="7"/>
      <c r="B302" s="7" t="str">
        <f t="shared" si="97"/>
        <v/>
      </c>
      <c r="C302" s="22"/>
      <c r="D302" s="31"/>
      <c r="E302" s="26"/>
      <c r="F302" s="26"/>
      <c r="G302" s="23"/>
      <c r="H302" s="23"/>
      <c r="I302" s="23"/>
      <c r="J302" s="23"/>
      <c r="K302" s="40"/>
      <c r="L302" s="40"/>
      <c r="M302" s="40"/>
      <c r="N302" s="40"/>
      <c r="O302" s="40"/>
      <c r="P302" s="24"/>
      <c r="Q302" s="23"/>
      <c r="R302" s="23"/>
      <c r="S302" s="23"/>
      <c r="T302" s="23"/>
      <c r="U302" s="23"/>
      <c r="V302" s="31"/>
      <c r="W302" s="8"/>
      <c r="X302" s="8"/>
      <c r="Y302" s="83"/>
      <c r="Z302" s="83"/>
      <c r="AA302" s="83"/>
      <c r="AB302" s="80"/>
      <c r="AC302" s="7"/>
    </row>
    <row r="303" spans="1:29" x14ac:dyDescent="0.2">
      <c r="A303" s="7"/>
      <c r="B303" s="7" t="str">
        <f t="shared" si="97"/>
        <v/>
      </c>
      <c r="C303" s="22"/>
      <c r="D303" s="31"/>
      <c r="E303" s="26"/>
      <c r="F303" s="26"/>
      <c r="G303" s="23"/>
      <c r="H303" s="23"/>
      <c r="I303" s="23"/>
      <c r="J303" s="23"/>
      <c r="K303" s="40"/>
      <c r="L303" s="40"/>
      <c r="M303" s="40"/>
      <c r="N303" s="40"/>
      <c r="O303" s="40"/>
      <c r="P303" s="24"/>
      <c r="Q303" s="23"/>
      <c r="R303" s="23"/>
      <c r="S303" s="23"/>
      <c r="T303" s="23"/>
      <c r="U303" s="23"/>
      <c r="V303" s="31"/>
      <c r="W303" s="8"/>
      <c r="X303" s="8"/>
      <c r="Y303" s="83"/>
      <c r="Z303" s="83"/>
      <c r="AA303" s="83"/>
      <c r="AB303" s="80"/>
      <c r="AC303" s="7"/>
    </row>
    <row r="304" spans="1:29" x14ac:dyDescent="0.2">
      <c r="A304" s="7"/>
      <c r="B304" s="7" t="str">
        <f t="shared" si="97"/>
        <v/>
      </c>
      <c r="C304" s="22"/>
      <c r="D304" s="31"/>
      <c r="E304" s="26"/>
      <c r="F304" s="26"/>
      <c r="G304" s="23"/>
      <c r="H304" s="23"/>
      <c r="I304" s="23"/>
      <c r="J304" s="23"/>
      <c r="K304" s="40"/>
      <c r="L304" s="40"/>
      <c r="M304" s="40"/>
      <c r="N304" s="40"/>
      <c r="O304" s="40"/>
      <c r="P304" s="24"/>
      <c r="Q304" s="23"/>
      <c r="R304" s="23"/>
      <c r="S304" s="23"/>
      <c r="T304" s="23"/>
      <c r="U304" s="23"/>
      <c r="V304" s="31"/>
      <c r="W304" s="8"/>
      <c r="X304" s="8"/>
      <c r="Y304" s="83"/>
      <c r="Z304" s="83"/>
      <c r="AA304" s="83"/>
      <c r="AB304" s="80"/>
      <c r="AC304" s="7"/>
    </row>
    <row r="305" spans="1:29" x14ac:dyDescent="0.2">
      <c r="A305" s="7"/>
      <c r="B305" s="7" t="str">
        <f t="shared" si="97"/>
        <v/>
      </c>
      <c r="C305" s="22"/>
      <c r="D305" s="31"/>
      <c r="E305" s="26"/>
      <c r="F305" s="26"/>
      <c r="G305" s="23"/>
      <c r="H305" s="23"/>
      <c r="I305" s="23"/>
      <c r="J305" s="23"/>
      <c r="K305" s="40"/>
      <c r="L305" s="40"/>
      <c r="M305" s="40"/>
      <c r="N305" s="40"/>
      <c r="O305" s="40"/>
      <c r="P305" s="24"/>
      <c r="Q305" s="23"/>
      <c r="R305" s="23"/>
      <c r="S305" s="23"/>
      <c r="T305" s="23"/>
      <c r="U305" s="23"/>
      <c r="V305" s="31"/>
      <c r="W305" s="8"/>
      <c r="X305" s="8"/>
      <c r="Y305" s="83"/>
      <c r="Z305" s="83"/>
      <c r="AA305" s="83"/>
      <c r="AB305" s="80"/>
      <c r="AC305" s="7"/>
    </row>
    <row r="306" spans="1:29" x14ac:dyDescent="0.2">
      <c r="A306" s="7"/>
      <c r="B306" s="7" t="str">
        <f t="shared" si="97"/>
        <v/>
      </c>
      <c r="C306" s="22"/>
      <c r="D306" s="31"/>
      <c r="E306" s="26"/>
      <c r="F306" s="26"/>
      <c r="G306" s="23"/>
      <c r="H306" s="23"/>
      <c r="I306" s="23"/>
      <c r="J306" s="23"/>
      <c r="K306" s="40"/>
      <c r="L306" s="40"/>
      <c r="M306" s="40"/>
      <c r="N306" s="40"/>
      <c r="O306" s="40"/>
      <c r="P306" s="24"/>
      <c r="Q306" s="23"/>
      <c r="R306" s="23"/>
      <c r="S306" s="23"/>
      <c r="T306" s="23"/>
      <c r="U306" s="23"/>
      <c r="V306" s="31"/>
      <c r="W306" s="8"/>
      <c r="X306" s="8"/>
      <c r="Y306" s="83"/>
      <c r="Z306" s="83"/>
      <c r="AA306" s="83"/>
      <c r="AB306" s="80"/>
      <c r="AC306" s="7"/>
    </row>
    <row r="307" spans="1:29" x14ac:dyDescent="0.2">
      <c r="A307" s="7"/>
      <c r="B307" s="7" t="str">
        <f t="shared" si="97"/>
        <v/>
      </c>
      <c r="C307" s="22"/>
      <c r="D307" s="31"/>
      <c r="E307" s="26"/>
      <c r="F307" s="26"/>
      <c r="G307" s="23"/>
      <c r="H307" s="23"/>
      <c r="I307" s="23"/>
      <c r="J307" s="23"/>
      <c r="K307" s="40"/>
      <c r="L307" s="40"/>
      <c r="M307" s="40"/>
      <c r="N307" s="40"/>
      <c r="O307" s="40"/>
      <c r="P307" s="24"/>
      <c r="Q307" s="23"/>
      <c r="R307" s="23"/>
      <c r="S307" s="23"/>
      <c r="T307" s="23"/>
      <c r="U307" s="23"/>
      <c r="V307" s="31"/>
      <c r="W307" s="8"/>
      <c r="X307" s="8"/>
      <c r="Y307" s="83"/>
      <c r="Z307" s="83"/>
      <c r="AA307" s="83"/>
      <c r="AB307" s="80"/>
      <c r="AC307" s="7"/>
    </row>
    <row r="308" spans="1:29" x14ac:dyDescent="0.2">
      <c r="A308" s="7"/>
      <c r="B308" s="7" t="str">
        <f t="shared" si="97"/>
        <v/>
      </c>
      <c r="C308" s="22"/>
      <c r="D308" s="31"/>
      <c r="E308" s="26"/>
      <c r="F308" s="26"/>
      <c r="G308" s="23"/>
      <c r="H308" s="23"/>
      <c r="I308" s="23"/>
      <c r="J308" s="23"/>
      <c r="K308" s="40"/>
      <c r="L308" s="40"/>
      <c r="M308" s="40"/>
      <c r="N308" s="40"/>
      <c r="O308" s="40"/>
      <c r="P308" s="27"/>
      <c r="Q308" s="23"/>
      <c r="R308" s="23"/>
      <c r="S308" s="23"/>
      <c r="T308" s="23"/>
      <c r="U308" s="23"/>
      <c r="V308" s="31"/>
      <c r="W308" s="8"/>
      <c r="X308" s="8"/>
      <c r="Y308" s="83"/>
      <c r="Z308" s="83"/>
      <c r="AA308" s="83"/>
      <c r="AB308" s="80"/>
      <c r="AC308" s="7"/>
    </row>
    <row r="309" spans="1:29" x14ac:dyDescent="0.2">
      <c r="A309" s="7"/>
      <c r="B309" s="7" t="str">
        <f t="shared" si="97"/>
        <v/>
      </c>
      <c r="C309" s="22"/>
      <c r="D309" s="31"/>
      <c r="E309" s="26"/>
      <c r="F309" s="26"/>
      <c r="G309" s="23"/>
      <c r="H309" s="23"/>
      <c r="I309" s="23"/>
      <c r="J309" s="23"/>
      <c r="K309" s="40"/>
      <c r="L309" s="40"/>
      <c r="M309" s="40"/>
      <c r="N309" s="40"/>
      <c r="O309" s="40"/>
      <c r="P309" s="27"/>
      <c r="Q309" s="23"/>
      <c r="R309" s="23"/>
      <c r="S309" s="23"/>
      <c r="T309" s="23"/>
      <c r="U309" s="23"/>
      <c r="V309" s="31"/>
      <c r="W309" s="8"/>
      <c r="X309" s="8"/>
      <c r="Y309" s="83"/>
      <c r="Z309" s="83"/>
      <c r="AA309" s="83"/>
      <c r="AB309" s="80"/>
      <c r="AC309" s="7"/>
    </row>
    <row r="310" spans="1:29" x14ac:dyDescent="0.2">
      <c r="A310" s="7"/>
      <c r="B310" s="7" t="str">
        <f t="shared" si="97"/>
        <v/>
      </c>
      <c r="C310" s="22"/>
      <c r="D310" s="31"/>
      <c r="E310" s="26"/>
      <c r="F310" s="26"/>
      <c r="G310" s="23"/>
      <c r="H310" s="23"/>
      <c r="I310" s="23"/>
      <c r="J310" s="23"/>
      <c r="K310" s="40"/>
      <c r="L310" s="40"/>
      <c r="M310" s="40"/>
      <c r="N310" s="40"/>
      <c r="O310" s="40"/>
      <c r="P310" s="27"/>
      <c r="Q310" s="23"/>
      <c r="R310" s="23"/>
      <c r="S310" s="23"/>
      <c r="T310" s="23"/>
      <c r="U310" s="23"/>
      <c r="V310" s="31"/>
      <c r="W310" s="8"/>
      <c r="X310" s="8"/>
      <c r="Y310" s="83"/>
      <c r="Z310" s="83"/>
      <c r="AA310" s="83"/>
      <c r="AB310" s="80"/>
      <c r="AC310" s="7"/>
    </row>
    <row r="311" spans="1:29" x14ac:dyDescent="0.2">
      <c r="A311" s="7"/>
      <c r="B311" s="7" t="str">
        <f t="shared" si="97"/>
        <v/>
      </c>
      <c r="C311" s="22"/>
      <c r="D311" s="31"/>
      <c r="E311" s="26"/>
      <c r="F311" s="26"/>
      <c r="G311" s="23"/>
      <c r="H311" s="23"/>
      <c r="I311" s="23"/>
      <c r="J311" s="23"/>
      <c r="K311" s="40"/>
      <c r="L311" s="40"/>
      <c r="M311" s="40"/>
      <c r="N311" s="40"/>
      <c r="O311" s="40"/>
      <c r="P311" s="27"/>
      <c r="Q311" s="23"/>
      <c r="R311" s="23"/>
      <c r="S311" s="23"/>
      <c r="T311" s="23"/>
      <c r="U311" s="23"/>
      <c r="V311" s="31"/>
      <c r="W311" s="8"/>
      <c r="X311" s="8"/>
      <c r="Y311" s="83"/>
      <c r="Z311" s="83"/>
      <c r="AA311" s="83"/>
      <c r="AB311" s="80"/>
      <c r="AC311" s="7"/>
    </row>
    <row r="312" spans="1:29" x14ac:dyDescent="0.2">
      <c r="A312" s="7"/>
      <c r="B312" s="7" t="str">
        <f t="shared" si="97"/>
        <v/>
      </c>
      <c r="C312" s="25"/>
      <c r="D312" s="31"/>
      <c r="E312" s="26"/>
      <c r="F312" s="26"/>
      <c r="G312" s="26"/>
      <c r="H312" s="26"/>
      <c r="I312" s="23"/>
      <c r="J312" s="26"/>
      <c r="K312" s="40"/>
      <c r="L312" s="40"/>
      <c r="M312" s="40"/>
      <c r="N312" s="40"/>
      <c r="O312" s="40"/>
      <c r="P312" s="27"/>
      <c r="Q312" s="26"/>
      <c r="R312" s="26"/>
      <c r="S312" s="26"/>
      <c r="T312" s="26"/>
      <c r="U312" s="26"/>
      <c r="V312" s="31"/>
      <c r="W312" s="8"/>
      <c r="X312" s="8"/>
      <c r="Y312" s="83"/>
      <c r="Z312" s="83"/>
      <c r="AA312" s="83"/>
      <c r="AB312" s="80"/>
      <c r="AC312" s="7"/>
    </row>
    <row r="313" spans="1:29" x14ac:dyDescent="0.2">
      <c r="A313" s="7"/>
      <c r="B313" s="7" t="str">
        <f t="shared" si="97"/>
        <v/>
      </c>
      <c r="C313" s="25"/>
      <c r="D313" s="31"/>
      <c r="E313" s="26"/>
      <c r="F313" s="26"/>
      <c r="G313" s="26"/>
      <c r="H313" s="26"/>
      <c r="I313" s="23"/>
      <c r="J313" s="26"/>
      <c r="K313" s="40"/>
      <c r="L313" s="40"/>
      <c r="M313" s="40"/>
      <c r="N313" s="40"/>
      <c r="O313" s="40"/>
      <c r="P313" s="27"/>
      <c r="Q313" s="26"/>
      <c r="R313" s="26"/>
      <c r="S313" s="26"/>
      <c r="T313" s="26"/>
      <c r="U313" s="26"/>
      <c r="V313" s="31"/>
      <c r="W313" s="8"/>
      <c r="X313" s="8"/>
      <c r="Y313" s="83"/>
      <c r="Z313" s="83"/>
      <c r="AA313" s="83"/>
      <c r="AB313" s="80"/>
      <c r="AC313" s="7"/>
    </row>
    <row r="314" spans="1:29" x14ac:dyDescent="0.2">
      <c r="A314" s="7"/>
      <c r="B314" s="7" t="str">
        <f t="shared" si="97"/>
        <v/>
      </c>
      <c r="C314" s="22"/>
      <c r="D314" s="31"/>
      <c r="E314" s="26"/>
      <c r="F314" s="26"/>
      <c r="G314" s="26"/>
      <c r="H314" s="26"/>
      <c r="I314" s="23"/>
      <c r="J314" s="23"/>
      <c r="K314" s="40"/>
      <c r="L314" s="40"/>
      <c r="M314" s="40"/>
      <c r="N314" s="40"/>
      <c r="O314" s="40"/>
      <c r="P314" s="24"/>
      <c r="Q314" s="23"/>
      <c r="R314" s="23"/>
      <c r="S314" s="23"/>
      <c r="T314" s="23"/>
      <c r="U314" s="23"/>
      <c r="V314" s="31"/>
      <c r="W314" s="8"/>
      <c r="X314" s="8"/>
      <c r="Y314" s="83"/>
      <c r="Z314" s="83"/>
      <c r="AA314" s="83"/>
      <c r="AB314" s="80"/>
      <c r="AC314" s="7"/>
    </row>
    <row r="315" spans="1:29" x14ac:dyDescent="0.2">
      <c r="A315" s="7"/>
      <c r="B315" s="7" t="str">
        <f t="shared" si="97"/>
        <v/>
      </c>
      <c r="C315" s="22"/>
      <c r="D315" s="31"/>
      <c r="E315" s="26"/>
      <c r="F315" s="26"/>
      <c r="G315" s="23"/>
      <c r="H315" s="23"/>
      <c r="I315" s="23"/>
      <c r="J315" s="23"/>
      <c r="K315" s="40"/>
      <c r="L315" s="40"/>
      <c r="M315" s="40"/>
      <c r="N315" s="40"/>
      <c r="O315" s="40"/>
      <c r="P315" s="24"/>
      <c r="Q315" s="23"/>
      <c r="R315" s="23"/>
      <c r="S315" s="23"/>
      <c r="T315" s="23"/>
      <c r="U315" s="23"/>
      <c r="V315" s="31"/>
      <c r="W315" s="8"/>
      <c r="X315" s="8"/>
      <c r="Y315" s="83"/>
      <c r="Z315" s="83"/>
      <c r="AA315" s="83"/>
      <c r="AB315" s="80"/>
      <c r="AC315" s="7"/>
    </row>
    <row r="316" spans="1:29" x14ac:dyDescent="0.2">
      <c r="A316" s="7"/>
      <c r="B316" s="7" t="str">
        <f t="shared" si="97"/>
        <v/>
      </c>
      <c r="C316" s="22"/>
      <c r="D316" s="31"/>
      <c r="E316" s="26"/>
      <c r="F316" s="26"/>
      <c r="G316" s="23"/>
      <c r="H316" s="23"/>
      <c r="I316" s="23"/>
      <c r="J316" s="23"/>
      <c r="K316" s="40"/>
      <c r="L316" s="40"/>
      <c r="M316" s="40"/>
      <c r="N316" s="40"/>
      <c r="O316" s="40"/>
      <c r="P316" s="24"/>
      <c r="Q316" s="23"/>
      <c r="R316" s="23"/>
      <c r="S316" s="23"/>
      <c r="T316" s="23"/>
      <c r="U316" s="23"/>
      <c r="V316" s="31"/>
      <c r="W316" s="8"/>
      <c r="X316" s="8"/>
      <c r="Y316" s="83"/>
      <c r="Z316" s="83"/>
      <c r="AA316" s="83"/>
      <c r="AB316" s="80"/>
      <c r="AC316" s="7"/>
    </row>
    <row r="317" spans="1:29" x14ac:dyDescent="0.2">
      <c r="A317" s="7"/>
      <c r="B317" s="7" t="str">
        <f t="shared" si="97"/>
        <v/>
      </c>
      <c r="C317" s="22"/>
      <c r="D317" s="31"/>
      <c r="E317" s="26"/>
      <c r="F317" s="26"/>
      <c r="G317" s="23"/>
      <c r="H317" s="23"/>
      <c r="I317" s="23"/>
      <c r="J317" s="23"/>
      <c r="K317" s="40"/>
      <c r="L317" s="40"/>
      <c r="M317" s="40"/>
      <c r="N317" s="40"/>
      <c r="O317" s="40"/>
      <c r="P317" s="24"/>
      <c r="Q317" s="23"/>
      <c r="R317" s="23"/>
      <c r="S317" s="23"/>
      <c r="T317" s="23"/>
      <c r="U317" s="23"/>
      <c r="V317" s="31"/>
      <c r="W317" s="8"/>
      <c r="X317" s="8"/>
      <c r="Y317" s="83"/>
      <c r="Z317" s="83"/>
      <c r="AA317" s="83"/>
      <c r="AB317" s="80"/>
      <c r="AC317" s="7"/>
    </row>
    <row r="318" spans="1:29" x14ac:dyDescent="0.2">
      <c r="A318" s="7"/>
      <c r="B318" s="7" t="str">
        <f t="shared" si="97"/>
        <v/>
      </c>
      <c r="C318" s="22"/>
      <c r="D318" s="31"/>
      <c r="E318" s="26"/>
      <c r="F318" s="26"/>
      <c r="G318" s="23"/>
      <c r="H318" s="23"/>
      <c r="I318" s="23"/>
      <c r="J318" s="30"/>
      <c r="K318" s="40"/>
      <c r="L318" s="40"/>
      <c r="M318" s="40"/>
      <c r="N318" s="40"/>
      <c r="O318" s="40"/>
      <c r="P318" s="24"/>
      <c r="Q318" s="23"/>
      <c r="R318" s="23"/>
      <c r="S318" s="23"/>
      <c r="T318" s="23"/>
      <c r="U318" s="23"/>
      <c r="V318" s="31"/>
      <c r="W318" s="8"/>
      <c r="X318" s="8"/>
      <c r="Y318" s="83"/>
      <c r="Z318" s="83"/>
      <c r="AA318" s="83"/>
      <c r="AB318" s="80"/>
      <c r="AC318" s="7"/>
    </row>
    <row r="319" spans="1:29" x14ac:dyDescent="0.2">
      <c r="A319" s="7"/>
      <c r="B319" s="7" t="str">
        <f t="shared" si="97"/>
        <v/>
      </c>
      <c r="C319" s="22"/>
      <c r="D319" s="31"/>
      <c r="E319" s="26"/>
      <c r="F319" s="26"/>
      <c r="G319" s="23"/>
      <c r="H319" s="23"/>
      <c r="I319" s="23"/>
      <c r="J319" s="23"/>
      <c r="K319" s="40"/>
      <c r="L319" s="40"/>
      <c r="M319" s="40"/>
      <c r="N319" s="40"/>
      <c r="O319" s="40"/>
      <c r="P319" s="24"/>
      <c r="Q319" s="23"/>
      <c r="R319" s="23"/>
      <c r="S319" s="23"/>
      <c r="T319" s="23"/>
      <c r="U319" s="23"/>
      <c r="V319" s="31"/>
      <c r="W319" s="8"/>
      <c r="X319" s="8"/>
      <c r="Y319" s="83"/>
      <c r="Z319" s="83"/>
      <c r="AA319" s="83"/>
      <c r="AB319" s="80"/>
      <c r="AC319" s="7"/>
    </row>
    <row r="320" spans="1:29" x14ac:dyDescent="0.2">
      <c r="A320" s="7"/>
      <c r="B320" s="7" t="str">
        <f t="shared" si="97"/>
        <v/>
      </c>
      <c r="C320" s="22"/>
      <c r="D320" s="31"/>
      <c r="E320" s="26"/>
      <c r="F320" s="26"/>
      <c r="G320" s="23"/>
      <c r="H320" s="23"/>
      <c r="I320" s="23"/>
      <c r="J320" s="23"/>
      <c r="K320" s="40"/>
      <c r="L320" s="40"/>
      <c r="M320" s="40"/>
      <c r="N320" s="40"/>
      <c r="O320" s="40"/>
      <c r="P320" s="24"/>
      <c r="Q320" s="23"/>
      <c r="R320" s="23"/>
      <c r="S320" s="23"/>
      <c r="T320" s="23"/>
      <c r="U320" s="23"/>
      <c r="V320" s="31"/>
      <c r="W320" s="8"/>
      <c r="X320" s="8"/>
      <c r="Y320" s="83"/>
      <c r="Z320" s="83"/>
      <c r="AA320" s="83"/>
      <c r="AB320" s="80"/>
      <c r="AC320" s="7"/>
    </row>
    <row r="321" spans="1:29" x14ac:dyDescent="0.2">
      <c r="A321" s="7"/>
      <c r="B321" s="7" t="str">
        <f t="shared" si="97"/>
        <v/>
      </c>
      <c r="C321" s="22"/>
      <c r="D321" s="31"/>
      <c r="E321" s="26"/>
      <c r="F321" s="26"/>
      <c r="G321" s="23"/>
      <c r="H321" s="23"/>
      <c r="I321" s="23"/>
      <c r="J321" s="23"/>
      <c r="K321" s="40"/>
      <c r="L321" s="40"/>
      <c r="M321" s="40"/>
      <c r="N321" s="40"/>
      <c r="O321" s="40"/>
      <c r="P321" s="24"/>
      <c r="Q321" s="23"/>
      <c r="R321" s="23"/>
      <c r="S321" s="23"/>
      <c r="T321" s="23"/>
      <c r="U321" s="23"/>
      <c r="V321" s="31"/>
      <c r="W321" s="8"/>
      <c r="X321" s="8"/>
      <c r="Y321" s="83"/>
      <c r="Z321" s="83"/>
      <c r="AA321" s="83"/>
      <c r="AB321" s="80"/>
      <c r="AC321" s="7"/>
    </row>
    <row r="322" spans="1:29" x14ac:dyDescent="0.2">
      <c r="A322" s="7"/>
      <c r="B322" s="7" t="str">
        <f t="shared" si="97"/>
        <v/>
      </c>
      <c r="C322" s="22"/>
      <c r="D322" s="31"/>
      <c r="E322" s="26"/>
      <c r="F322" s="26"/>
      <c r="G322" s="23"/>
      <c r="H322" s="23"/>
      <c r="I322" s="23"/>
      <c r="J322" s="23"/>
      <c r="K322" s="40"/>
      <c r="L322" s="40"/>
      <c r="M322" s="40"/>
      <c r="N322" s="40"/>
      <c r="O322" s="40"/>
      <c r="P322" s="24"/>
      <c r="Q322" s="23"/>
      <c r="R322" s="23"/>
      <c r="S322" s="23"/>
      <c r="T322" s="23"/>
      <c r="U322" s="23"/>
      <c r="V322" s="31"/>
      <c r="W322" s="8"/>
      <c r="X322" s="8"/>
      <c r="Y322" s="83"/>
      <c r="Z322" s="83"/>
      <c r="AA322" s="83"/>
      <c r="AB322" s="80"/>
      <c r="AC322" s="7"/>
    </row>
    <row r="323" spans="1:29" x14ac:dyDescent="0.2">
      <c r="A323" s="7"/>
      <c r="B323" s="7" t="str">
        <f t="shared" si="97"/>
        <v/>
      </c>
      <c r="C323" s="22"/>
      <c r="D323" s="31"/>
      <c r="E323" s="26"/>
      <c r="F323" s="26"/>
      <c r="G323" s="23"/>
      <c r="H323" s="23"/>
      <c r="I323" s="23"/>
      <c r="J323" s="23"/>
      <c r="K323" s="40"/>
      <c r="L323" s="40"/>
      <c r="M323" s="40"/>
      <c r="N323" s="40"/>
      <c r="O323" s="40"/>
      <c r="P323" s="24"/>
      <c r="Q323" s="23"/>
      <c r="R323" s="23"/>
      <c r="S323" s="23"/>
      <c r="T323" s="23"/>
      <c r="U323" s="23"/>
      <c r="V323" s="31"/>
      <c r="W323" s="8"/>
      <c r="X323" s="8"/>
      <c r="Y323" s="83"/>
      <c r="Z323" s="83"/>
      <c r="AA323" s="83"/>
      <c r="AB323" s="80"/>
      <c r="AC323" s="7"/>
    </row>
    <row r="324" spans="1:29" x14ac:dyDescent="0.2">
      <c r="A324" s="7"/>
      <c r="B324" s="7" t="str">
        <f t="shared" si="97"/>
        <v/>
      </c>
      <c r="C324" s="22"/>
      <c r="D324" s="31"/>
      <c r="E324" s="26"/>
      <c r="F324" s="26"/>
      <c r="G324" s="23"/>
      <c r="H324" s="23"/>
      <c r="I324" s="23"/>
      <c r="J324" s="23"/>
      <c r="K324" s="40"/>
      <c r="L324" s="40"/>
      <c r="M324" s="40"/>
      <c r="N324" s="40"/>
      <c r="O324" s="40"/>
      <c r="P324" s="24"/>
      <c r="Q324" s="23"/>
      <c r="R324" s="23"/>
      <c r="S324" s="23"/>
      <c r="T324" s="23"/>
      <c r="U324" s="23"/>
      <c r="V324" s="31"/>
      <c r="W324" s="8"/>
      <c r="X324" s="8"/>
      <c r="Y324" s="83"/>
      <c r="Z324" s="83"/>
      <c r="AA324" s="83"/>
      <c r="AB324" s="80"/>
      <c r="AC324" s="7"/>
    </row>
    <row r="325" spans="1:29" x14ac:dyDescent="0.2">
      <c r="A325" s="7"/>
      <c r="B325" s="7" t="str">
        <f t="shared" si="97"/>
        <v/>
      </c>
      <c r="C325" s="22"/>
      <c r="D325" s="31"/>
      <c r="E325" s="26"/>
      <c r="F325" s="26"/>
      <c r="G325" s="23"/>
      <c r="H325" s="23"/>
      <c r="I325" s="23"/>
      <c r="J325" s="23"/>
      <c r="K325" s="40"/>
      <c r="L325" s="40"/>
      <c r="M325" s="40"/>
      <c r="N325" s="40"/>
      <c r="O325" s="40"/>
      <c r="P325" s="24"/>
      <c r="Q325" s="23"/>
      <c r="R325" s="23"/>
      <c r="S325" s="23"/>
      <c r="T325" s="23"/>
      <c r="U325" s="23"/>
      <c r="V325" s="31"/>
      <c r="W325" s="8"/>
      <c r="X325" s="8"/>
      <c r="Y325" s="83"/>
      <c r="Z325" s="83"/>
      <c r="AA325" s="83"/>
      <c r="AB325" s="80"/>
      <c r="AC325" s="7"/>
    </row>
    <row r="326" spans="1:29" x14ac:dyDescent="0.2">
      <c r="A326" s="7"/>
      <c r="B326" s="7" t="str">
        <f t="shared" si="97"/>
        <v/>
      </c>
      <c r="C326" s="22"/>
      <c r="D326" s="31"/>
      <c r="E326" s="26"/>
      <c r="F326" s="26"/>
      <c r="G326" s="23"/>
      <c r="H326" s="23"/>
      <c r="I326" s="23"/>
      <c r="J326" s="23"/>
      <c r="K326" s="40"/>
      <c r="L326" s="40"/>
      <c r="M326" s="40"/>
      <c r="N326" s="40"/>
      <c r="O326" s="40"/>
      <c r="P326" s="24"/>
      <c r="Q326" s="23"/>
      <c r="R326" s="23"/>
      <c r="S326" s="23"/>
      <c r="T326" s="23"/>
      <c r="U326" s="23"/>
      <c r="V326" s="31"/>
      <c r="W326" s="8"/>
      <c r="X326" s="8"/>
      <c r="Y326" s="83"/>
      <c r="Z326" s="83"/>
      <c r="AA326" s="83"/>
      <c r="AB326" s="80"/>
      <c r="AC326" s="7"/>
    </row>
    <row r="327" spans="1:29" x14ac:dyDescent="0.2">
      <c r="A327" s="7"/>
      <c r="B327" s="7" t="str">
        <f t="shared" si="97"/>
        <v/>
      </c>
      <c r="C327" s="22"/>
      <c r="D327" s="31"/>
      <c r="E327" s="26"/>
      <c r="F327" s="26"/>
      <c r="G327" s="23"/>
      <c r="H327" s="23"/>
      <c r="I327" s="23"/>
      <c r="J327" s="23"/>
      <c r="K327" s="40"/>
      <c r="L327" s="40"/>
      <c r="M327" s="40"/>
      <c r="N327" s="40"/>
      <c r="O327" s="40"/>
      <c r="P327" s="24"/>
      <c r="Q327" s="23"/>
      <c r="R327" s="23"/>
      <c r="S327" s="23"/>
      <c r="T327" s="23"/>
      <c r="U327" s="23"/>
      <c r="V327" s="31"/>
      <c r="W327" s="8"/>
      <c r="X327" s="8"/>
      <c r="Y327" s="83"/>
      <c r="Z327" s="83"/>
      <c r="AA327" s="83"/>
      <c r="AB327" s="80"/>
      <c r="AC327" s="7"/>
    </row>
    <row r="328" spans="1:29" x14ac:dyDescent="0.2">
      <c r="A328" s="7"/>
      <c r="B328" s="7" t="str">
        <f t="shared" si="97"/>
        <v/>
      </c>
      <c r="C328" s="22"/>
      <c r="D328" s="31"/>
      <c r="E328" s="26"/>
      <c r="F328" s="26"/>
      <c r="G328" s="23"/>
      <c r="H328" s="23"/>
      <c r="I328" s="23"/>
      <c r="J328" s="23"/>
      <c r="K328" s="40"/>
      <c r="L328" s="40"/>
      <c r="M328" s="40"/>
      <c r="N328" s="40"/>
      <c r="O328" s="40"/>
      <c r="P328" s="24"/>
      <c r="Q328" s="23"/>
      <c r="R328" s="23"/>
      <c r="S328" s="23"/>
      <c r="T328" s="23"/>
      <c r="U328" s="23"/>
      <c r="V328" s="31"/>
      <c r="W328" s="8"/>
      <c r="X328" s="8"/>
      <c r="Y328" s="83"/>
      <c r="Z328" s="83"/>
      <c r="AA328" s="83"/>
      <c r="AB328" s="80"/>
      <c r="AC328" s="7"/>
    </row>
    <row r="329" spans="1:29" x14ac:dyDescent="0.2">
      <c r="A329" s="7"/>
      <c r="B329" s="7" t="str">
        <f t="shared" si="97"/>
        <v/>
      </c>
      <c r="C329" s="22"/>
      <c r="D329" s="31"/>
      <c r="E329" s="26"/>
      <c r="F329" s="26"/>
      <c r="G329" s="23"/>
      <c r="H329" s="23"/>
      <c r="I329" s="23"/>
      <c r="J329" s="23"/>
      <c r="K329" s="40"/>
      <c r="L329" s="40"/>
      <c r="M329" s="40"/>
      <c r="N329" s="40"/>
      <c r="O329" s="40"/>
      <c r="P329" s="24"/>
      <c r="Q329" s="23"/>
      <c r="R329" s="23"/>
      <c r="S329" s="23"/>
      <c r="T329" s="23"/>
      <c r="U329" s="23"/>
      <c r="V329" s="31"/>
      <c r="W329" s="8"/>
      <c r="X329" s="8"/>
      <c r="Y329" s="83"/>
      <c r="Z329" s="83"/>
      <c r="AA329" s="83"/>
      <c r="AB329" s="80"/>
      <c r="AC329" s="7"/>
    </row>
    <row r="330" spans="1:29" x14ac:dyDescent="0.2">
      <c r="A330" s="7"/>
      <c r="B330" s="7" t="str">
        <f t="shared" si="97"/>
        <v/>
      </c>
      <c r="C330" s="22"/>
      <c r="D330" s="31"/>
      <c r="E330" s="26"/>
      <c r="F330" s="26"/>
      <c r="G330" s="23"/>
      <c r="H330" s="23"/>
      <c r="I330" s="23"/>
      <c r="J330" s="23"/>
      <c r="K330" s="40"/>
      <c r="L330" s="40"/>
      <c r="M330" s="40"/>
      <c r="N330" s="40"/>
      <c r="O330" s="40"/>
      <c r="P330" s="24"/>
      <c r="Q330" s="23"/>
      <c r="R330" s="23"/>
      <c r="S330" s="23"/>
      <c r="T330" s="23"/>
      <c r="U330" s="23"/>
      <c r="V330" s="31"/>
      <c r="W330" s="8"/>
      <c r="X330" s="8"/>
      <c r="Y330" s="83"/>
      <c r="Z330" s="83"/>
      <c r="AA330" s="83"/>
      <c r="AB330" s="80"/>
      <c r="AC330" s="7"/>
    </row>
    <row r="331" spans="1:29" x14ac:dyDescent="0.2">
      <c r="A331" s="7"/>
      <c r="B331" s="7" t="str">
        <f t="shared" si="97"/>
        <v/>
      </c>
      <c r="C331" s="22"/>
      <c r="D331" s="72"/>
      <c r="E331" s="26"/>
      <c r="F331" s="26"/>
      <c r="G331" s="23"/>
      <c r="H331" s="23"/>
      <c r="I331" s="23"/>
      <c r="J331" s="23"/>
      <c r="K331" s="40"/>
      <c r="L331" s="40"/>
      <c r="M331" s="40"/>
      <c r="N331" s="40"/>
      <c r="O331" s="40"/>
      <c r="P331" s="24"/>
      <c r="Q331" s="23"/>
      <c r="R331" s="23"/>
      <c r="S331" s="23"/>
      <c r="T331" s="23"/>
      <c r="U331" s="23"/>
      <c r="V331" s="72"/>
      <c r="W331" s="8"/>
      <c r="X331" s="8"/>
      <c r="Y331" s="83"/>
      <c r="Z331" s="83"/>
      <c r="AA331" s="83"/>
      <c r="AB331" s="80"/>
      <c r="AC331" s="7"/>
    </row>
    <row r="332" spans="1:29" x14ac:dyDescent="0.2">
      <c r="A332" s="7"/>
      <c r="B332" s="7" t="str">
        <f t="shared" si="97"/>
        <v/>
      </c>
      <c r="C332" s="22"/>
      <c r="D332" s="72"/>
      <c r="E332" s="26"/>
      <c r="F332" s="26"/>
      <c r="G332" s="23"/>
      <c r="H332" s="23"/>
      <c r="I332" s="23"/>
      <c r="J332" s="23"/>
      <c r="K332" s="40"/>
      <c r="L332" s="40"/>
      <c r="M332" s="40"/>
      <c r="N332" s="40"/>
      <c r="O332" s="40"/>
      <c r="P332" s="24"/>
      <c r="Q332" s="23"/>
      <c r="R332" s="23"/>
      <c r="S332" s="23"/>
      <c r="T332" s="23"/>
      <c r="U332" s="23"/>
      <c r="V332" s="72"/>
      <c r="W332" s="8"/>
      <c r="X332" s="8"/>
      <c r="Y332" s="83"/>
      <c r="Z332" s="83"/>
      <c r="AA332" s="83"/>
      <c r="AB332" s="80"/>
      <c r="AC332" s="7"/>
    </row>
    <row r="333" spans="1:29" x14ac:dyDescent="0.2">
      <c r="A333" s="7"/>
      <c r="B333" s="7" t="str">
        <f t="shared" si="97"/>
        <v/>
      </c>
      <c r="C333" s="22"/>
      <c r="D333" s="72"/>
      <c r="E333" s="26"/>
      <c r="F333" s="26"/>
      <c r="G333" s="23"/>
      <c r="H333" s="23"/>
      <c r="I333" s="23"/>
      <c r="J333" s="23"/>
      <c r="K333" s="40"/>
      <c r="L333" s="40"/>
      <c r="M333" s="40"/>
      <c r="N333" s="40"/>
      <c r="O333" s="40"/>
      <c r="P333" s="24"/>
      <c r="Q333" s="23"/>
      <c r="R333" s="23"/>
      <c r="S333" s="23"/>
      <c r="T333" s="23"/>
      <c r="U333" s="23"/>
      <c r="V333" s="72"/>
      <c r="W333" s="8"/>
      <c r="X333" s="8"/>
      <c r="Y333" s="83"/>
      <c r="Z333" s="83"/>
      <c r="AA333" s="83"/>
      <c r="AB333" s="80"/>
      <c r="AC333" s="7"/>
    </row>
    <row r="334" spans="1:29" x14ac:dyDescent="0.2">
      <c r="A334" s="7"/>
      <c r="B334" s="7" t="str">
        <f t="shared" si="97"/>
        <v/>
      </c>
      <c r="C334" s="22"/>
      <c r="D334" s="72"/>
      <c r="E334" s="26"/>
      <c r="F334" s="26"/>
      <c r="G334" s="23"/>
      <c r="H334" s="23"/>
      <c r="I334" s="23"/>
      <c r="J334" s="23"/>
      <c r="K334" s="40"/>
      <c r="L334" s="40"/>
      <c r="M334" s="40"/>
      <c r="N334" s="40"/>
      <c r="O334" s="40"/>
      <c r="P334" s="24"/>
      <c r="Q334" s="23"/>
      <c r="R334" s="23"/>
      <c r="S334" s="23"/>
      <c r="T334" s="23"/>
      <c r="U334" s="23"/>
      <c r="V334" s="72"/>
      <c r="W334" s="8"/>
      <c r="X334" s="8"/>
      <c r="Y334" s="83"/>
      <c r="Z334" s="83"/>
      <c r="AA334" s="83"/>
      <c r="AB334" s="80"/>
      <c r="AC334" s="7"/>
    </row>
    <row r="335" spans="1:29" x14ac:dyDescent="0.2">
      <c r="A335" s="7"/>
      <c r="B335" s="7" t="str">
        <f t="shared" si="97"/>
        <v/>
      </c>
      <c r="C335" s="22"/>
      <c r="D335" s="72"/>
      <c r="E335" s="26"/>
      <c r="F335" s="26"/>
      <c r="G335" s="23"/>
      <c r="H335" s="23"/>
      <c r="I335" s="23"/>
      <c r="J335" s="23"/>
      <c r="K335" s="40"/>
      <c r="L335" s="40"/>
      <c r="M335" s="40"/>
      <c r="N335" s="40"/>
      <c r="O335" s="40"/>
      <c r="P335" s="24"/>
      <c r="Q335" s="23"/>
      <c r="R335" s="23"/>
      <c r="S335" s="23"/>
      <c r="T335" s="23"/>
      <c r="U335" s="23"/>
      <c r="V335" s="72"/>
      <c r="W335" s="8"/>
      <c r="X335" s="8"/>
      <c r="Y335" s="83"/>
      <c r="Z335" s="83"/>
      <c r="AA335" s="83"/>
      <c r="AB335" s="80"/>
      <c r="AC335" s="7"/>
    </row>
    <row r="336" spans="1:29" x14ac:dyDescent="0.2">
      <c r="A336" s="7"/>
      <c r="B336" s="7" t="str">
        <f t="shared" si="97"/>
        <v/>
      </c>
      <c r="C336" s="22"/>
      <c r="D336" s="72"/>
      <c r="E336" s="26"/>
      <c r="F336" s="26"/>
      <c r="G336" s="23"/>
      <c r="H336" s="23"/>
      <c r="I336" s="23"/>
      <c r="J336" s="23"/>
      <c r="K336" s="40"/>
      <c r="L336" s="40"/>
      <c r="M336" s="40"/>
      <c r="N336" s="40"/>
      <c r="O336" s="40"/>
      <c r="P336" s="24"/>
      <c r="Q336" s="23"/>
      <c r="R336" s="23"/>
      <c r="S336" s="23"/>
      <c r="T336" s="23"/>
      <c r="U336" s="23"/>
      <c r="V336" s="72"/>
      <c r="W336" s="8"/>
      <c r="X336" s="8"/>
      <c r="Y336" s="83"/>
      <c r="Z336" s="83"/>
      <c r="AA336" s="83"/>
      <c r="AB336" s="80"/>
      <c r="AC336" s="7"/>
    </row>
    <row r="337" spans="1:29" x14ac:dyDescent="0.2">
      <c r="A337" s="7"/>
      <c r="B337" s="7" t="str">
        <f t="shared" si="97"/>
        <v/>
      </c>
      <c r="C337" s="22"/>
      <c r="D337" s="72"/>
      <c r="E337" s="26"/>
      <c r="F337" s="26"/>
      <c r="G337" s="23"/>
      <c r="H337" s="23"/>
      <c r="I337" s="23"/>
      <c r="J337" s="23"/>
      <c r="K337" s="40"/>
      <c r="L337" s="40"/>
      <c r="M337" s="40"/>
      <c r="N337" s="40"/>
      <c r="O337" s="40"/>
      <c r="P337" s="24"/>
      <c r="Q337" s="23"/>
      <c r="R337" s="23"/>
      <c r="S337" s="23"/>
      <c r="T337" s="23"/>
      <c r="U337" s="23"/>
      <c r="V337" s="72"/>
      <c r="W337" s="8"/>
      <c r="X337" s="8"/>
      <c r="Y337" s="83"/>
      <c r="Z337" s="83"/>
      <c r="AA337" s="83"/>
      <c r="AB337" s="80"/>
      <c r="AC337" s="7"/>
    </row>
    <row r="338" spans="1:29" x14ac:dyDescent="0.2">
      <c r="A338" s="7"/>
      <c r="B338" s="7" t="str">
        <f t="shared" si="97"/>
        <v/>
      </c>
      <c r="C338" s="22"/>
      <c r="D338" s="72"/>
      <c r="E338" s="26"/>
      <c r="F338" s="26"/>
      <c r="G338" s="23"/>
      <c r="H338" s="23"/>
      <c r="I338" s="23"/>
      <c r="J338" s="23"/>
      <c r="K338" s="40"/>
      <c r="L338" s="40"/>
      <c r="M338" s="40"/>
      <c r="N338" s="40"/>
      <c r="O338" s="40"/>
      <c r="P338" s="24"/>
      <c r="Q338" s="23"/>
      <c r="R338" s="23"/>
      <c r="S338" s="23"/>
      <c r="T338" s="23"/>
      <c r="U338" s="23"/>
      <c r="V338" s="72"/>
      <c r="W338" s="8"/>
      <c r="X338" s="8"/>
      <c r="Y338" s="83"/>
      <c r="Z338" s="83"/>
      <c r="AA338" s="83"/>
      <c r="AB338" s="80"/>
      <c r="AC338" s="7"/>
    </row>
    <row r="339" spans="1:29" x14ac:dyDescent="0.2">
      <c r="A339" s="7"/>
      <c r="B339" s="7" t="str">
        <f t="shared" ref="B339:B402" si="98">LEFT(C339,12)</f>
        <v/>
      </c>
      <c r="C339" s="22"/>
      <c r="D339" s="72"/>
      <c r="E339" s="26"/>
      <c r="F339" s="26"/>
      <c r="G339" s="23"/>
      <c r="H339" s="23"/>
      <c r="I339" s="23"/>
      <c r="J339" s="23"/>
      <c r="K339" s="40"/>
      <c r="L339" s="40"/>
      <c r="M339" s="40"/>
      <c r="N339" s="40"/>
      <c r="O339" s="40"/>
      <c r="P339" s="24"/>
      <c r="Q339" s="23"/>
      <c r="R339" s="23"/>
      <c r="S339" s="23"/>
      <c r="T339" s="23"/>
      <c r="U339" s="23"/>
      <c r="V339" s="72"/>
      <c r="W339" s="8"/>
      <c r="X339" s="8"/>
      <c r="Y339" s="83"/>
      <c r="Z339" s="83"/>
      <c r="AA339" s="83"/>
      <c r="AB339" s="80"/>
      <c r="AC339" s="7"/>
    </row>
    <row r="340" spans="1:29" x14ac:dyDescent="0.2">
      <c r="A340" s="7"/>
      <c r="B340" s="7" t="str">
        <f t="shared" si="98"/>
        <v/>
      </c>
      <c r="C340" s="22"/>
      <c r="D340" s="72"/>
      <c r="E340" s="26"/>
      <c r="F340" s="26"/>
      <c r="G340" s="23"/>
      <c r="H340" s="23"/>
      <c r="I340" s="23"/>
      <c r="J340" s="7"/>
      <c r="K340" s="40"/>
      <c r="L340" s="40"/>
      <c r="M340" s="40"/>
      <c r="N340" s="40"/>
      <c r="O340" s="40"/>
      <c r="P340" s="24"/>
      <c r="Q340" s="23"/>
      <c r="R340" s="23"/>
      <c r="S340" s="23"/>
      <c r="T340" s="23"/>
      <c r="U340" s="23"/>
      <c r="V340" s="72"/>
      <c r="W340" s="8"/>
      <c r="X340" s="8"/>
      <c r="Y340" s="83"/>
      <c r="Z340" s="83"/>
      <c r="AA340" s="83"/>
      <c r="AB340" s="80"/>
      <c r="AC340" s="7"/>
    </row>
    <row r="341" spans="1:29" x14ac:dyDescent="0.2">
      <c r="A341" s="7"/>
      <c r="B341" s="7" t="str">
        <f t="shared" si="98"/>
        <v/>
      </c>
      <c r="C341" s="22"/>
      <c r="D341" s="72"/>
      <c r="E341" s="26"/>
      <c r="F341" s="26"/>
      <c r="G341" s="23"/>
      <c r="H341" s="23"/>
      <c r="I341" s="23"/>
      <c r="J341" s="23"/>
      <c r="K341" s="40"/>
      <c r="L341" s="40"/>
      <c r="M341" s="40"/>
      <c r="N341" s="40"/>
      <c r="O341" s="40"/>
      <c r="P341" s="24"/>
      <c r="Q341" s="23"/>
      <c r="R341" s="23"/>
      <c r="S341" s="23"/>
      <c r="T341" s="23"/>
      <c r="U341" s="23"/>
      <c r="V341" s="72"/>
      <c r="W341" s="8"/>
      <c r="X341" s="8"/>
      <c r="Y341" s="83"/>
      <c r="Z341" s="83"/>
      <c r="AA341" s="83"/>
      <c r="AB341" s="80"/>
      <c r="AC341" s="7"/>
    </row>
    <row r="342" spans="1:29" x14ac:dyDescent="0.2">
      <c r="A342" s="7"/>
      <c r="B342" s="7" t="str">
        <f t="shared" si="98"/>
        <v/>
      </c>
      <c r="C342" s="22"/>
      <c r="D342" s="72"/>
      <c r="E342" s="26"/>
      <c r="F342" s="26"/>
      <c r="G342" s="26"/>
      <c r="H342" s="26"/>
      <c r="I342" s="23"/>
      <c r="J342" s="23"/>
      <c r="K342" s="40"/>
      <c r="L342" s="40"/>
      <c r="M342" s="40"/>
      <c r="N342" s="40"/>
      <c r="O342" s="40"/>
      <c r="P342" s="24"/>
      <c r="Q342" s="23"/>
      <c r="R342" s="23"/>
      <c r="S342" s="23"/>
      <c r="T342" s="23"/>
      <c r="U342" s="23"/>
      <c r="V342" s="72"/>
      <c r="W342" s="8"/>
      <c r="X342" s="8"/>
      <c r="Y342" s="83"/>
      <c r="Z342" s="83"/>
      <c r="AA342" s="83"/>
      <c r="AB342" s="80"/>
      <c r="AC342" s="7"/>
    </row>
    <row r="343" spans="1:29" x14ac:dyDescent="0.2">
      <c r="A343" s="7"/>
      <c r="B343" s="7" t="str">
        <f t="shared" si="98"/>
        <v/>
      </c>
      <c r="C343" s="22"/>
      <c r="D343" s="72"/>
      <c r="E343" s="26"/>
      <c r="F343" s="26"/>
      <c r="G343" s="26"/>
      <c r="H343" s="26"/>
      <c r="I343" s="23"/>
      <c r="J343" s="23"/>
      <c r="K343" s="40"/>
      <c r="L343" s="40"/>
      <c r="M343" s="40"/>
      <c r="N343" s="40"/>
      <c r="O343" s="40"/>
      <c r="P343" s="24"/>
      <c r="Q343" s="23"/>
      <c r="R343" s="23"/>
      <c r="S343" s="23"/>
      <c r="T343" s="23"/>
      <c r="U343" s="23"/>
      <c r="V343" s="72"/>
      <c r="W343" s="8"/>
      <c r="X343" s="8"/>
      <c r="Y343" s="83"/>
      <c r="Z343" s="83"/>
      <c r="AA343" s="83"/>
      <c r="AB343" s="80"/>
      <c r="AC343" s="7"/>
    </row>
    <row r="344" spans="1:29" x14ac:dyDescent="0.2">
      <c r="A344" s="7"/>
      <c r="B344" s="7" t="str">
        <f t="shared" si="98"/>
        <v/>
      </c>
      <c r="C344" s="22"/>
      <c r="D344" s="72"/>
      <c r="E344" s="26"/>
      <c r="F344" s="26"/>
      <c r="G344" s="26"/>
      <c r="H344" s="26"/>
      <c r="I344" s="23"/>
      <c r="J344" s="23"/>
      <c r="K344" s="40"/>
      <c r="L344" s="40"/>
      <c r="M344" s="40"/>
      <c r="N344" s="40"/>
      <c r="O344" s="40"/>
      <c r="P344" s="24"/>
      <c r="Q344" s="23"/>
      <c r="R344" s="23"/>
      <c r="S344" s="23"/>
      <c r="T344" s="23"/>
      <c r="U344" s="23"/>
      <c r="V344" s="72"/>
      <c r="W344" s="8"/>
      <c r="X344" s="8"/>
      <c r="Y344" s="83"/>
      <c r="Z344" s="83"/>
      <c r="AA344" s="83"/>
      <c r="AB344" s="80"/>
      <c r="AC344" s="7"/>
    </row>
    <row r="345" spans="1:29" x14ac:dyDescent="0.2">
      <c r="A345" s="7"/>
      <c r="B345" s="7" t="str">
        <f t="shared" si="98"/>
        <v/>
      </c>
      <c r="C345" s="22"/>
      <c r="D345" s="72"/>
      <c r="E345" s="26"/>
      <c r="F345" s="26"/>
      <c r="G345" s="26"/>
      <c r="H345" s="26"/>
      <c r="I345" s="23"/>
      <c r="J345" s="23"/>
      <c r="K345" s="40"/>
      <c r="L345" s="40"/>
      <c r="M345" s="40"/>
      <c r="N345" s="40"/>
      <c r="O345" s="40"/>
      <c r="P345" s="24"/>
      <c r="Q345" s="23"/>
      <c r="R345" s="23"/>
      <c r="S345" s="23"/>
      <c r="T345" s="23"/>
      <c r="U345" s="23"/>
      <c r="V345" s="72"/>
      <c r="W345" s="8"/>
      <c r="X345" s="8"/>
      <c r="Y345" s="83"/>
      <c r="Z345" s="83"/>
      <c r="AA345" s="83"/>
      <c r="AB345" s="80"/>
      <c r="AC345" s="7"/>
    </row>
    <row r="346" spans="1:29" x14ac:dyDescent="0.2">
      <c r="A346" s="7"/>
      <c r="B346" s="7" t="str">
        <f t="shared" si="98"/>
        <v/>
      </c>
      <c r="C346" s="22"/>
      <c r="D346" s="72"/>
      <c r="E346" s="26"/>
      <c r="F346" s="26"/>
      <c r="G346" s="23"/>
      <c r="H346" s="23"/>
      <c r="I346" s="23"/>
      <c r="J346" s="23"/>
      <c r="K346" s="40"/>
      <c r="L346" s="40"/>
      <c r="M346" s="40"/>
      <c r="N346" s="40"/>
      <c r="O346" s="40"/>
      <c r="P346" s="24"/>
      <c r="Q346" s="23"/>
      <c r="R346" s="23"/>
      <c r="S346" s="23"/>
      <c r="T346" s="23"/>
      <c r="U346" s="23"/>
      <c r="V346" s="72"/>
      <c r="W346" s="8"/>
      <c r="X346" s="8"/>
      <c r="Y346" s="83"/>
      <c r="Z346" s="83"/>
      <c r="AA346" s="83"/>
      <c r="AB346" s="80"/>
      <c r="AC346" s="7"/>
    </row>
    <row r="347" spans="1:29" x14ac:dyDescent="0.2">
      <c r="A347" s="7"/>
      <c r="B347" s="7" t="str">
        <f t="shared" si="98"/>
        <v/>
      </c>
      <c r="C347" s="22"/>
      <c r="D347" s="72"/>
      <c r="E347" s="26"/>
      <c r="F347" s="26"/>
      <c r="G347" s="26"/>
      <c r="H347" s="26"/>
      <c r="I347" s="23"/>
      <c r="J347" s="23"/>
      <c r="K347" s="40"/>
      <c r="L347" s="40"/>
      <c r="M347" s="40"/>
      <c r="N347" s="40"/>
      <c r="O347" s="40"/>
      <c r="P347" s="24"/>
      <c r="Q347" s="23"/>
      <c r="R347" s="23"/>
      <c r="S347" s="23"/>
      <c r="T347" s="23"/>
      <c r="U347" s="23"/>
      <c r="V347" s="72"/>
      <c r="W347" s="8"/>
      <c r="X347" s="8"/>
      <c r="Y347" s="83"/>
      <c r="Z347" s="83"/>
      <c r="AA347" s="83"/>
      <c r="AB347" s="80"/>
      <c r="AC347" s="7"/>
    </row>
    <row r="348" spans="1:29" x14ac:dyDescent="0.2">
      <c r="A348" s="7"/>
      <c r="B348" s="7" t="str">
        <f t="shared" si="98"/>
        <v/>
      </c>
      <c r="C348" s="22"/>
      <c r="D348" s="72"/>
      <c r="E348" s="26"/>
      <c r="F348" s="26"/>
      <c r="G348" s="23"/>
      <c r="H348" s="23"/>
      <c r="I348" s="23"/>
      <c r="J348" s="23"/>
      <c r="K348" s="40"/>
      <c r="L348" s="40"/>
      <c r="M348" s="40"/>
      <c r="N348" s="40"/>
      <c r="O348" s="40"/>
      <c r="P348" s="24"/>
      <c r="Q348" s="23"/>
      <c r="R348" s="23"/>
      <c r="S348" s="23"/>
      <c r="T348" s="23"/>
      <c r="U348" s="23"/>
      <c r="V348" s="72"/>
      <c r="W348" s="8"/>
      <c r="X348" s="8"/>
      <c r="Y348" s="83"/>
      <c r="Z348" s="83"/>
      <c r="AA348" s="83"/>
      <c r="AB348" s="80"/>
      <c r="AC348" s="7"/>
    </row>
    <row r="349" spans="1:29" x14ac:dyDescent="0.2">
      <c r="A349" s="7"/>
      <c r="B349" s="7" t="str">
        <f t="shared" si="98"/>
        <v/>
      </c>
      <c r="C349" s="25"/>
      <c r="D349" s="72"/>
      <c r="E349" s="26"/>
      <c r="F349" s="26"/>
      <c r="G349" s="26"/>
      <c r="H349" s="26"/>
      <c r="I349" s="23"/>
      <c r="J349" s="23"/>
      <c r="K349" s="40"/>
      <c r="L349" s="40"/>
      <c r="M349" s="40"/>
      <c r="N349" s="40"/>
      <c r="O349" s="40"/>
      <c r="P349" s="24"/>
      <c r="Q349" s="23"/>
      <c r="R349" s="23"/>
      <c r="S349" s="23"/>
      <c r="T349" s="23"/>
      <c r="U349" s="23"/>
      <c r="V349" s="72"/>
      <c r="W349" s="8"/>
      <c r="X349" s="8"/>
      <c r="Y349" s="83"/>
      <c r="Z349" s="83"/>
      <c r="AA349" s="83"/>
      <c r="AB349" s="80"/>
      <c r="AC349" s="7"/>
    </row>
    <row r="350" spans="1:29" x14ac:dyDescent="0.2">
      <c r="A350" s="7"/>
      <c r="B350" s="7" t="str">
        <f t="shared" si="98"/>
        <v/>
      </c>
      <c r="C350" s="25"/>
      <c r="D350" s="72"/>
      <c r="E350" s="26"/>
      <c r="F350" s="26"/>
      <c r="G350" s="26"/>
      <c r="H350" s="26"/>
      <c r="I350" s="23"/>
      <c r="J350" s="23"/>
      <c r="K350" s="40"/>
      <c r="L350" s="40"/>
      <c r="M350" s="40"/>
      <c r="N350" s="40"/>
      <c r="O350" s="40"/>
      <c r="P350" s="24"/>
      <c r="Q350" s="23"/>
      <c r="R350" s="23"/>
      <c r="S350" s="23"/>
      <c r="T350" s="23"/>
      <c r="U350" s="23"/>
      <c r="V350" s="72"/>
      <c r="W350" s="8"/>
      <c r="X350" s="8"/>
      <c r="Y350" s="83"/>
      <c r="Z350" s="83"/>
      <c r="AA350" s="83"/>
      <c r="AB350" s="80"/>
      <c r="AC350" s="7"/>
    </row>
    <row r="351" spans="1:29" x14ac:dyDescent="0.2">
      <c r="A351" s="7"/>
      <c r="B351" s="7" t="str">
        <f t="shared" si="98"/>
        <v/>
      </c>
      <c r="C351" s="25"/>
      <c r="D351" s="72"/>
      <c r="E351" s="26"/>
      <c r="F351" s="26"/>
      <c r="G351" s="26"/>
      <c r="H351" s="26"/>
      <c r="I351" s="23"/>
      <c r="J351" s="23"/>
      <c r="K351" s="40"/>
      <c r="L351" s="40"/>
      <c r="M351" s="40"/>
      <c r="N351" s="40"/>
      <c r="O351" s="40"/>
      <c r="P351" s="24"/>
      <c r="Q351" s="23"/>
      <c r="R351" s="23"/>
      <c r="S351" s="23"/>
      <c r="T351" s="23"/>
      <c r="U351" s="23"/>
      <c r="V351" s="72"/>
      <c r="W351" s="8"/>
      <c r="X351" s="8"/>
      <c r="Y351" s="83"/>
      <c r="Z351" s="83"/>
      <c r="AA351" s="83"/>
      <c r="AB351" s="80"/>
      <c r="AC351" s="7"/>
    </row>
    <row r="352" spans="1:29" x14ac:dyDescent="0.2">
      <c r="A352" s="7"/>
      <c r="B352" s="7" t="str">
        <f t="shared" si="98"/>
        <v/>
      </c>
      <c r="C352" s="25"/>
      <c r="D352" s="72"/>
      <c r="E352" s="26"/>
      <c r="F352" s="26"/>
      <c r="G352" s="23"/>
      <c r="H352" s="23"/>
      <c r="I352" s="23"/>
      <c r="J352" s="23"/>
      <c r="K352" s="40"/>
      <c r="L352" s="40"/>
      <c r="M352" s="40"/>
      <c r="N352" s="40"/>
      <c r="O352" s="40"/>
      <c r="P352" s="24"/>
      <c r="Q352" s="23"/>
      <c r="R352" s="23"/>
      <c r="S352" s="23"/>
      <c r="T352" s="23"/>
      <c r="U352" s="23"/>
      <c r="V352" s="72"/>
      <c r="W352" s="8"/>
      <c r="X352" s="8"/>
      <c r="Y352" s="83"/>
      <c r="Z352" s="83"/>
      <c r="AA352" s="83"/>
      <c r="AB352" s="80"/>
      <c r="AC352" s="7"/>
    </row>
    <row r="353" spans="1:29" x14ac:dyDescent="0.2">
      <c r="A353" s="7"/>
      <c r="B353" s="7" t="str">
        <f t="shared" si="98"/>
        <v/>
      </c>
      <c r="C353" s="22"/>
      <c r="D353" s="72"/>
      <c r="E353" s="26"/>
      <c r="F353" s="26"/>
      <c r="G353" s="23"/>
      <c r="H353" s="23"/>
      <c r="I353" s="23"/>
      <c r="J353" s="23"/>
      <c r="K353" s="40"/>
      <c r="L353" s="40"/>
      <c r="M353" s="40"/>
      <c r="N353" s="40"/>
      <c r="O353" s="40"/>
      <c r="P353" s="24"/>
      <c r="Q353" s="23"/>
      <c r="R353" s="23"/>
      <c r="S353" s="23"/>
      <c r="T353" s="23"/>
      <c r="U353" s="23"/>
      <c r="V353" s="72"/>
      <c r="W353" s="8"/>
      <c r="X353" s="8"/>
      <c r="Y353" s="83"/>
      <c r="Z353" s="83"/>
      <c r="AA353" s="83"/>
      <c r="AB353" s="80"/>
      <c r="AC353" s="7"/>
    </row>
    <row r="354" spans="1:29" x14ac:dyDescent="0.2">
      <c r="A354" s="7"/>
      <c r="B354" s="7" t="str">
        <f t="shared" si="98"/>
        <v/>
      </c>
      <c r="C354" s="22"/>
      <c r="D354" s="72"/>
      <c r="E354" s="26"/>
      <c r="F354" s="26"/>
      <c r="G354" s="23"/>
      <c r="H354" s="23"/>
      <c r="I354" s="23"/>
      <c r="J354" s="23"/>
      <c r="K354" s="40"/>
      <c r="L354" s="40"/>
      <c r="M354" s="40"/>
      <c r="N354" s="40"/>
      <c r="O354" s="40"/>
      <c r="P354" s="24"/>
      <c r="Q354" s="23"/>
      <c r="R354" s="23"/>
      <c r="S354" s="23"/>
      <c r="T354" s="23"/>
      <c r="U354" s="23"/>
      <c r="V354" s="72"/>
      <c r="W354" s="8"/>
      <c r="X354" s="8"/>
      <c r="Y354" s="83"/>
      <c r="Z354" s="83"/>
      <c r="AA354" s="83"/>
      <c r="AB354" s="80"/>
      <c r="AC354" s="7"/>
    </row>
    <row r="355" spans="1:29" x14ac:dyDescent="0.2">
      <c r="A355" s="7"/>
      <c r="B355" s="7" t="str">
        <f t="shared" si="98"/>
        <v/>
      </c>
      <c r="C355" s="32"/>
      <c r="D355" s="72"/>
      <c r="E355" s="33"/>
      <c r="F355" s="33"/>
      <c r="G355" s="34"/>
      <c r="H355" s="34"/>
      <c r="I355" s="34"/>
      <c r="J355" s="34"/>
      <c r="K355" s="40"/>
      <c r="L355" s="138"/>
      <c r="M355" s="138"/>
      <c r="N355" s="138"/>
      <c r="O355" s="138"/>
      <c r="P355" s="36"/>
      <c r="Q355" s="34"/>
      <c r="R355" s="34"/>
      <c r="S355" s="34"/>
      <c r="T355" s="34"/>
      <c r="U355" s="34"/>
      <c r="V355" s="72"/>
      <c r="W355" s="8"/>
      <c r="X355" s="8"/>
      <c r="Y355" s="83"/>
      <c r="Z355" s="83"/>
      <c r="AA355" s="83"/>
      <c r="AB355" s="80"/>
      <c r="AC355" s="7"/>
    </row>
    <row r="356" spans="1:29" x14ac:dyDescent="0.2">
      <c r="A356" s="7"/>
      <c r="B356" s="7" t="str">
        <f t="shared" si="98"/>
        <v/>
      </c>
      <c r="C356" s="10"/>
      <c r="D356" s="72"/>
      <c r="E356" s="12"/>
      <c r="F356" s="12"/>
      <c r="G356" s="7"/>
      <c r="H356" s="7"/>
      <c r="I356" s="7"/>
      <c r="J356" s="7"/>
      <c r="K356" s="40"/>
      <c r="L356" s="137"/>
      <c r="M356" s="137"/>
      <c r="N356" s="137"/>
      <c r="O356" s="137"/>
      <c r="P356" s="13"/>
      <c r="Q356" s="7"/>
      <c r="R356" s="7"/>
      <c r="S356" s="7"/>
      <c r="T356" s="7"/>
      <c r="U356" s="7"/>
      <c r="V356" s="72"/>
      <c r="W356" s="8"/>
      <c r="X356" s="8"/>
      <c r="Y356" s="83"/>
      <c r="Z356" s="83"/>
      <c r="AA356" s="83"/>
      <c r="AB356" s="80"/>
      <c r="AC356" s="7"/>
    </row>
    <row r="357" spans="1:29" x14ac:dyDescent="0.2">
      <c r="A357" s="7"/>
      <c r="B357" s="7" t="str">
        <f t="shared" si="98"/>
        <v/>
      </c>
      <c r="C357" s="10"/>
      <c r="D357" s="72"/>
      <c r="E357" s="12"/>
      <c r="F357" s="12"/>
      <c r="G357" s="7"/>
      <c r="H357" s="7"/>
      <c r="I357" s="7"/>
      <c r="J357" s="7"/>
      <c r="K357" s="40"/>
      <c r="L357" s="137"/>
      <c r="M357" s="137"/>
      <c r="N357" s="137"/>
      <c r="O357" s="137"/>
      <c r="P357" s="13"/>
      <c r="Q357" s="7"/>
      <c r="R357" s="7"/>
      <c r="S357" s="7"/>
      <c r="T357" s="7"/>
      <c r="U357" s="7"/>
      <c r="V357" s="72"/>
      <c r="W357" s="8"/>
      <c r="X357" s="8"/>
      <c r="Y357" s="83"/>
      <c r="Z357" s="83"/>
      <c r="AA357" s="83"/>
      <c r="AB357" s="80"/>
      <c r="AC357" s="7"/>
    </row>
    <row r="358" spans="1:29" x14ac:dyDescent="0.2">
      <c r="A358" s="7"/>
      <c r="B358" s="7" t="str">
        <f t="shared" si="98"/>
        <v/>
      </c>
      <c r="C358" s="10"/>
      <c r="D358" s="72"/>
      <c r="E358" s="12"/>
      <c r="F358" s="12"/>
      <c r="G358" s="7"/>
      <c r="H358" s="7"/>
      <c r="I358" s="7"/>
      <c r="J358" s="7"/>
      <c r="K358" s="40"/>
      <c r="L358" s="137"/>
      <c r="M358" s="137"/>
      <c r="N358" s="137"/>
      <c r="O358" s="137"/>
      <c r="P358" s="13"/>
      <c r="Q358" s="7"/>
      <c r="R358" s="23"/>
      <c r="V358" s="72"/>
      <c r="W358" s="8"/>
      <c r="X358" s="8"/>
      <c r="Y358" s="83"/>
      <c r="Z358" s="83"/>
      <c r="AA358" s="83"/>
      <c r="AB358" s="80"/>
      <c r="AC358" s="7"/>
    </row>
    <row r="359" spans="1:29" x14ac:dyDescent="0.2">
      <c r="A359" s="7"/>
      <c r="B359" s="7" t="str">
        <f t="shared" si="98"/>
        <v/>
      </c>
      <c r="C359" s="10"/>
      <c r="D359" s="72"/>
      <c r="E359" s="12"/>
      <c r="G359" s="26"/>
      <c r="H359" s="26"/>
      <c r="I359" s="23"/>
      <c r="J359" s="7"/>
      <c r="K359" s="40"/>
      <c r="L359" s="137"/>
      <c r="M359" s="137"/>
      <c r="N359" s="137"/>
      <c r="O359" s="137"/>
      <c r="P359" s="13"/>
      <c r="Q359" s="7"/>
      <c r="R359" s="23"/>
      <c r="V359" s="72"/>
      <c r="W359" s="8"/>
      <c r="X359" s="8"/>
      <c r="Y359" s="83"/>
      <c r="Z359" s="83"/>
      <c r="AA359" s="83"/>
      <c r="AB359" s="80"/>
      <c r="AC359" s="7"/>
    </row>
    <row r="360" spans="1:29" x14ac:dyDescent="0.2">
      <c r="A360" s="7"/>
      <c r="B360" s="7" t="str">
        <f t="shared" si="98"/>
        <v/>
      </c>
      <c r="C360" s="10"/>
      <c r="D360" s="72"/>
      <c r="E360" s="12"/>
      <c r="F360" s="12"/>
      <c r="G360" s="7"/>
      <c r="H360" s="7"/>
      <c r="I360" s="7"/>
      <c r="J360" s="7"/>
      <c r="K360" s="40"/>
      <c r="L360" s="137"/>
      <c r="M360" s="137"/>
      <c r="N360" s="137"/>
      <c r="O360" s="137"/>
      <c r="P360" s="13"/>
      <c r="Q360" s="7"/>
      <c r="R360" s="23"/>
      <c r="V360" s="72"/>
      <c r="W360" s="8"/>
      <c r="X360" s="8"/>
      <c r="Y360" s="83"/>
      <c r="Z360" s="83"/>
      <c r="AA360" s="83"/>
      <c r="AB360" s="80"/>
      <c r="AC360" s="7"/>
    </row>
    <row r="361" spans="1:29" x14ac:dyDescent="0.2">
      <c r="A361" s="7"/>
      <c r="B361" s="7" t="str">
        <f t="shared" si="98"/>
        <v/>
      </c>
      <c r="C361" s="10"/>
      <c r="D361" s="72"/>
      <c r="E361" s="12"/>
      <c r="F361" s="12"/>
      <c r="G361" s="7"/>
      <c r="H361" s="7"/>
      <c r="I361" s="7"/>
      <c r="J361" s="7"/>
      <c r="K361" s="40"/>
      <c r="L361" s="137"/>
      <c r="M361" s="137"/>
      <c r="N361" s="137"/>
      <c r="O361" s="137"/>
      <c r="P361" s="13"/>
      <c r="Q361" s="7"/>
      <c r="R361" s="7"/>
      <c r="S361" s="7"/>
      <c r="T361" s="7"/>
      <c r="U361" s="7"/>
      <c r="V361" s="72"/>
      <c r="W361" s="8"/>
      <c r="X361" s="8"/>
      <c r="Y361" s="83"/>
      <c r="Z361" s="83"/>
      <c r="AA361" s="83"/>
      <c r="AB361" s="80"/>
      <c r="AC361" s="7"/>
    </row>
    <row r="362" spans="1:29" x14ac:dyDescent="0.2">
      <c r="A362" s="7"/>
      <c r="B362" s="7" t="str">
        <f t="shared" si="98"/>
        <v/>
      </c>
      <c r="C362" s="10"/>
      <c r="D362" s="72"/>
      <c r="E362" s="12"/>
      <c r="F362" s="12"/>
      <c r="G362" s="7"/>
      <c r="H362" s="7"/>
      <c r="I362" s="7"/>
      <c r="J362" s="7"/>
      <c r="K362" s="40"/>
      <c r="L362" s="137"/>
      <c r="M362" s="137"/>
      <c r="N362" s="137"/>
      <c r="O362" s="137"/>
      <c r="P362" s="13"/>
      <c r="Q362" s="7"/>
      <c r="R362" s="7"/>
      <c r="S362" s="7"/>
      <c r="T362" s="7"/>
      <c r="U362" s="7"/>
      <c r="V362" s="72"/>
      <c r="W362" s="8"/>
      <c r="X362" s="8"/>
      <c r="Y362" s="83"/>
      <c r="Z362" s="83"/>
      <c r="AA362" s="83"/>
      <c r="AB362" s="80"/>
      <c r="AC362" s="7"/>
    </row>
    <row r="363" spans="1:29" x14ac:dyDescent="0.2">
      <c r="A363" s="7"/>
      <c r="B363" s="7" t="str">
        <f t="shared" si="98"/>
        <v/>
      </c>
      <c r="C363" s="10"/>
      <c r="D363" s="72"/>
      <c r="E363" s="12"/>
      <c r="F363" s="12"/>
      <c r="G363" s="7"/>
      <c r="H363" s="7"/>
      <c r="I363" s="7"/>
      <c r="J363" s="7"/>
      <c r="K363" s="40"/>
      <c r="L363" s="137"/>
      <c r="M363" s="137"/>
      <c r="N363" s="137"/>
      <c r="O363" s="137"/>
      <c r="P363" s="13"/>
      <c r="Q363" s="7"/>
      <c r="R363" s="7"/>
      <c r="S363" s="7"/>
      <c r="T363" s="7"/>
      <c r="U363" s="7"/>
      <c r="V363" s="72"/>
      <c r="W363" s="8"/>
      <c r="X363" s="8"/>
      <c r="Y363" s="83"/>
      <c r="Z363" s="83"/>
      <c r="AA363" s="83"/>
      <c r="AB363" s="80"/>
      <c r="AC363" s="7"/>
    </row>
    <row r="364" spans="1:29" x14ac:dyDescent="0.2">
      <c r="A364" s="7"/>
      <c r="B364" s="7" t="str">
        <f t="shared" si="98"/>
        <v/>
      </c>
      <c r="C364" s="10"/>
      <c r="D364" s="72"/>
      <c r="E364" s="12"/>
      <c r="F364" s="12"/>
      <c r="G364" s="7"/>
      <c r="H364" s="7"/>
      <c r="I364" s="7"/>
      <c r="J364" s="7"/>
      <c r="K364" s="40"/>
      <c r="L364" s="137"/>
      <c r="M364" s="137"/>
      <c r="N364" s="137"/>
      <c r="O364" s="137"/>
      <c r="P364" s="13"/>
      <c r="Q364" s="7"/>
      <c r="R364" s="7"/>
      <c r="S364" s="7"/>
      <c r="T364" s="7"/>
      <c r="U364" s="7"/>
      <c r="V364" s="72"/>
      <c r="W364" s="8"/>
      <c r="X364" s="8"/>
      <c r="Y364" s="83"/>
      <c r="Z364" s="83"/>
      <c r="AA364" s="83"/>
      <c r="AB364" s="80"/>
      <c r="AC364" s="7"/>
    </row>
    <row r="365" spans="1:29" x14ac:dyDescent="0.2">
      <c r="A365" s="7"/>
      <c r="B365" s="7" t="str">
        <f t="shared" si="98"/>
        <v/>
      </c>
      <c r="C365" s="10"/>
      <c r="D365" s="72"/>
      <c r="E365" s="12"/>
      <c r="F365" s="12"/>
      <c r="G365" s="7"/>
      <c r="I365" s="23"/>
      <c r="J365" s="23"/>
      <c r="K365" s="40"/>
      <c r="L365" s="137"/>
      <c r="M365" s="137"/>
      <c r="N365" s="137"/>
      <c r="O365" s="137"/>
      <c r="P365" s="13"/>
      <c r="Q365" s="7"/>
      <c r="R365" s="7"/>
      <c r="S365" s="7"/>
      <c r="T365" s="7"/>
      <c r="U365" s="7"/>
      <c r="V365" s="72"/>
      <c r="W365" s="8"/>
      <c r="X365" s="8"/>
      <c r="Y365" s="83"/>
      <c r="Z365" s="83"/>
      <c r="AA365" s="83"/>
      <c r="AB365" s="80"/>
      <c r="AC365" s="7"/>
    </row>
    <row r="366" spans="1:29" x14ac:dyDescent="0.2">
      <c r="A366" s="7"/>
      <c r="B366" s="7" t="str">
        <f t="shared" si="98"/>
        <v/>
      </c>
      <c r="C366" s="10"/>
      <c r="D366" s="72"/>
      <c r="E366" s="12"/>
      <c r="F366" s="12"/>
      <c r="G366" s="7"/>
      <c r="H366" s="7"/>
      <c r="I366" s="7"/>
      <c r="J366" s="7"/>
      <c r="K366" s="40"/>
      <c r="L366" s="137"/>
      <c r="M366" s="137"/>
      <c r="N366" s="137"/>
      <c r="O366" s="137"/>
      <c r="P366" s="13"/>
      <c r="Q366" s="7"/>
      <c r="R366" s="7"/>
      <c r="S366" s="7"/>
      <c r="T366" s="7"/>
      <c r="U366" s="7"/>
      <c r="V366" s="72"/>
      <c r="W366" s="8"/>
      <c r="X366" s="8"/>
      <c r="Y366" s="83"/>
      <c r="Z366" s="83"/>
      <c r="AA366" s="83"/>
      <c r="AB366" s="80"/>
      <c r="AC366" s="7"/>
    </row>
    <row r="367" spans="1:29" x14ac:dyDescent="0.2">
      <c r="A367" s="7"/>
      <c r="B367" s="7" t="str">
        <f t="shared" si="98"/>
        <v/>
      </c>
      <c r="C367" s="10"/>
      <c r="D367" s="72"/>
      <c r="E367" s="12"/>
      <c r="F367" s="12"/>
      <c r="G367" s="7"/>
      <c r="H367" s="7"/>
      <c r="I367" s="7"/>
      <c r="J367" s="7"/>
      <c r="K367" s="40"/>
      <c r="L367" s="137"/>
      <c r="M367" s="137"/>
      <c r="N367" s="137"/>
      <c r="O367" s="137"/>
      <c r="P367" s="13"/>
      <c r="Q367" s="7"/>
      <c r="R367" s="7"/>
      <c r="S367" s="7"/>
      <c r="T367" s="7"/>
      <c r="U367" s="7"/>
      <c r="V367" s="72"/>
      <c r="W367" s="8"/>
      <c r="X367" s="8"/>
      <c r="Y367" s="83"/>
      <c r="Z367" s="83"/>
      <c r="AA367" s="83"/>
      <c r="AB367" s="80"/>
      <c r="AC367" s="7"/>
    </row>
    <row r="368" spans="1:29" x14ac:dyDescent="0.2">
      <c r="A368" s="7"/>
      <c r="B368" s="7" t="str">
        <f t="shared" si="98"/>
        <v/>
      </c>
      <c r="C368" s="10"/>
      <c r="D368" s="72"/>
      <c r="E368" s="12"/>
      <c r="F368" s="12"/>
      <c r="G368" s="7"/>
      <c r="H368" s="7"/>
      <c r="I368" s="7"/>
      <c r="J368" s="7"/>
      <c r="K368" s="40"/>
      <c r="L368" s="137"/>
      <c r="M368" s="137"/>
      <c r="N368" s="137"/>
      <c r="O368" s="137"/>
      <c r="P368" s="13"/>
      <c r="Q368" s="7"/>
      <c r="R368" s="7"/>
      <c r="S368" s="7"/>
      <c r="T368" s="7"/>
      <c r="U368" s="7"/>
      <c r="V368" s="72"/>
      <c r="W368" s="8"/>
      <c r="X368" s="8"/>
      <c r="Y368" s="83"/>
      <c r="Z368" s="83"/>
      <c r="AA368" s="83"/>
      <c r="AB368" s="80"/>
      <c r="AC368" s="7"/>
    </row>
    <row r="369" spans="1:29" x14ac:dyDescent="0.2">
      <c r="A369" s="7"/>
      <c r="B369" s="7" t="str">
        <f t="shared" si="98"/>
        <v/>
      </c>
      <c r="C369" s="10"/>
      <c r="D369" s="72"/>
      <c r="E369" s="12"/>
      <c r="F369" s="12"/>
      <c r="G369" s="7"/>
      <c r="H369" s="7"/>
      <c r="I369" s="7"/>
      <c r="J369" s="7"/>
      <c r="K369" s="40"/>
      <c r="L369" s="137"/>
      <c r="M369" s="137"/>
      <c r="N369" s="137"/>
      <c r="O369" s="137"/>
      <c r="P369" s="13"/>
      <c r="Q369" s="7"/>
      <c r="R369" s="23"/>
      <c r="V369" s="72"/>
      <c r="W369" s="8"/>
      <c r="X369" s="8"/>
      <c r="Y369" s="83"/>
      <c r="Z369" s="83"/>
      <c r="AA369" s="83"/>
      <c r="AB369" s="80"/>
      <c r="AC369" s="7"/>
    </row>
    <row r="370" spans="1:29" x14ac:dyDescent="0.2">
      <c r="A370" s="7"/>
      <c r="B370" s="7" t="str">
        <f t="shared" si="98"/>
        <v/>
      </c>
      <c r="C370" s="10"/>
      <c r="D370" s="72"/>
      <c r="E370" s="12"/>
      <c r="F370" s="12"/>
      <c r="G370" s="7"/>
      <c r="H370" s="7"/>
      <c r="I370" s="7"/>
      <c r="J370" s="7"/>
      <c r="K370" s="40"/>
      <c r="L370" s="137"/>
      <c r="M370" s="137"/>
      <c r="N370" s="137"/>
      <c r="O370" s="137"/>
      <c r="P370" s="13"/>
      <c r="Q370" s="7"/>
      <c r="R370" s="7"/>
      <c r="S370" s="7"/>
      <c r="T370" s="7"/>
      <c r="U370" s="7"/>
      <c r="V370" s="72"/>
      <c r="W370" s="8"/>
      <c r="X370" s="8"/>
      <c r="Y370" s="83"/>
      <c r="Z370" s="83"/>
      <c r="AA370" s="83"/>
      <c r="AB370" s="80"/>
      <c r="AC370" s="7"/>
    </row>
    <row r="371" spans="1:29" x14ac:dyDescent="0.2">
      <c r="A371" s="7"/>
      <c r="B371" s="7" t="str">
        <f t="shared" si="98"/>
        <v/>
      </c>
      <c r="C371" s="10"/>
      <c r="D371" s="72"/>
      <c r="E371" s="12"/>
      <c r="F371" s="12"/>
      <c r="G371" s="7"/>
      <c r="H371" s="7"/>
      <c r="I371" s="7"/>
      <c r="J371" s="7"/>
      <c r="K371" s="40"/>
      <c r="L371" s="137"/>
      <c r="M371" s="137"/>
      <c r="N371" s="137"/>
      <c r="O371" s="137"/>
      <c r="P371" s="13"/>
      <c r="Q371" s="7"/>
      <c r="R371" s="23"/>
      <c r="V371" s="72"/>
      <c r="W371" s="8"/>
      <c r="X371" s="8"/>
      <c r="Y371" s="83"/>
      <c r="Z371" s="83"/>
      <c r="AA371" s="83"/>
      <c r="AB371" s="80"/>
      <c r="AC371" s="7"/>
    </row>
    <row r="372" spans="1:29" x14ac:dyDescent="0.2">
      <c r="A372" s="7"/>
      <c r="B372" s="7" t="str">
        <f t="shared" si="98"/>
        <v/>
      </c>
      <c r="C372" s="10"/>
      <c r="D372" s="72"/>
      <c r="E372" s="12"/>
      <c r="F372" s="12"/>
      <c r="G372" s="7"/>
      <c r="H372" s="7"/>
      <c r="I372" s="7"/>
      <c r="J372" s="7"/>
      <c r="K372" s="40"/>
      <c r="L372" s="137"/>
      <c r="M372" s="137"/>
      <c r="N372" s="137"/>
      <c r="O372" s="137"/>
      <c r="P372" s="13"/>
      <c r="Q372" s="7"/>
      <c r="R372" s="23"/>
      <c r="V372" s="72"/>
      <c r="W372" s="8"/>
      <c r="X372" s="8"/>
      <c r="Y372" s="83"/>
      <c r="Z372" s="83"/>
      <c r="AA372" s="83"/>
      <c r="AB372" s="80"/>
      <c r="AC372" s="7"/>
    </row>
    <row r="373" spans="1:29" x14ac:dyDescent="0.2">
      <c r="A373" s="7"/>
      <c r="B373" s="7" t="str">
        <f t="shared" si="98"/>
        <v/>
      </c>
      <c r="C373" s="10"/>
      <c r="D373" s="72"/>
      <c r="E373" s="12"/>
      <c r="F373" s="12"/>
      <c r="G373" s="7"/>
      <c r="H373" s="7"/>
      <c r="I373" s="7"/>
      <c r="J373" s="7"/>
      <c r="K373" s="40"/>
      <c r="L373" s="137"/>
      <c r="M373" s="137"/>
      <c r="N373" s="137"/>
      <c r="O373" s="137"/>
      <c r="P373" s="13"/>
      <c r="Q373" s="7"/>
      <c r="R373" s="23"/>
      <c r="V373" s="72"/>
      <c r="W373" s="8"/>
      <c r="X373" s="8"/>
      <c r="Y373" s="83"/>
      <c r="Z373" s="83"/>
      <c r="AA373" s="83"/>
      <c r="AB373" s="80"/>
      <c r="AC373" s="7"/>
    </row>
    <row r="374" spans="1:29" x14ac:dyDescent="0.2">
      <c r="A374" s="7"/>
      <c r="B374" s="7" t="str">
        <f t="shared" si="98"/>
        <v/>
      </c>
      <c r="C374" s="10"/>
      <c r="D374" s="72"/>
      <c r="E374" s="12"/>
      <c r="F374" s="12"/>
      <c r="G374" s="7"/>
      <c r="H374" s="7"/>
      <c r="I374" s="7"/>
      <c r="J374" s="7"/>
      <c r="K374" s="40"/>
      <c r="L374" s="137"/>
      <c r="M374" s="137"/>
      <c r="N374" s="137"/>
      <c r="O374" s="137"/>
      <c r="P374" s="13"/>
      <c r="Q374" s="7"/>
      <c r="R374" s="23"/>
      <c r="V374" s="72"/>
      <c r="W374" s="8"/>
      <c r="X374" s="8"/>
      <c r="Y374" s="83"/>
      <c r="Z374" s="83"/>
      <c r="AA374" s="83"/>
      <c r="AB374" s="80"/>
      <c r="AC374" s="7"/>
    </row>
    <row r="375" spans="1:29" x14ac:dyDescent="0.2">
      <c r="A375" s="7"/>
      <c r="B375" s="7" t="str">
        <f t="shared" si="98"/>
        <v/>
      </c>
      <c r="C375" s="10"/>
      <c r="D375" s="72"/>
      <c r="E375" s="12"/>
      <c r="F375" s="12"/>
      <c r="G375" s="7"/>
      <c r="H375" s="7"/>
      <c r="I375" s="7"/>
      <c r="J375" s="7"/>
      <c r="K375" s="40"/>
      <c r="L375" s="137"/>
      <c r="M375" s="137"/>
      <c r="N375" s="137"/>
      <c r="O375" s="137"/>
      <c r="P375" s="13"/>
      <c r="Q375" s="7"/>
      <c r="R375" s="7"/>
      <c r="S375" s="7"/>
      <c r="T375" s="7"/>
      <c r="U375" s="7"/>
      <c r="V375" s="72"/>
      <c r="W375" s="8"/>
      <c r="X375" s="8"/>
      <c r="Y375" s="83"/>
      <c r="Z375" s="83"/>
      <c r="AA375" s="83"/>
      <c r="AB375" s="80"/>
      <c r="AC375" s="7"/>
    </row>
    <row r="376" spans="1:29" x14ac:dyDescent="0.2">
      <c r="A376" s="7"/>
      <c r="B376" s="7" t="str">
        <f t="shared" si="98"/>
        <v/>
      </c>
      <c r="C376" s="10"/>
      <c r="D376" s="72"/>
      <c r="E376" s="12"/>
      <c r="F376" s="12"/>
      <c r="G376" s="7"/>
      <c r="H376" s="7"/>
      <c r="I376" s="7"/>
      <c r="J376" s="7"/>
      <c r="K376" s="40"/>
      <c r="L376" s="137"/>
      <c r="M376" s="137"/>
      <c r="N376" s="137"/>
      <c r="O376" s="137"/>
      <c r="P376" s="13"/>
      <c r="Q376" s="7"/>
      <c r="R376" s="7"/>
      <c r="S376" s="7"/>
      <c r="T376" s="7"/>
      <c r="U376" s="7"/>
      <c r="V376" s="72"/>
      <c r="W376" s="8"/>
      <c r="X376" s="8"/>
      <c r="Y376" s="83"/>
      <c r="Z376" s="83"/>
      <c r="AA376" s="83"/>
      <c r="AB376" s="80"/>
      <c r="AC376" s="7"/>
    </row>
    <row r="377" spans="1:29" ht="45" customHeight="1" x14ac:dyDescent="0.2">
      <c r="A377" s="7"/>
      <c r="B377" s="7" t="str">
        <f t="shared" si="98"/>
        <v/>
      </c>
      <c r="C377" s="10"/>
      <c r="D377" s="72"/>
      <c r="E377" s="12"/>
      <c r="F377" s="12"/>
      <c r="G377" s="7"/>
      <c r="H377" s="7"/>
      <c r="I377" s="7"/>
      <c r="J377" s="7"/>
      <c r="K377" s="40"/>
      <c r="L377" s="137"/>
      <c r="M377" s="137"/>
      <c r="N377" s="137"/>
      <c r="O377" s="137"/>
      <c r="P377" s="13"/>
      <c r="Q377" s="7"/>
      <c r="R377" s="7"/>
      <c r="S377" s="7"/>
      <c r="T377" s="7"/>
      <c r="U377" s="7"/>
      <c r="V377" s="72"/>
      <c r="W377" s="8"/>
      <c r="X377" s="8"/>
      <c r="Y377" s="83"/>
      <c r="Z377" s="83"/>
      <c r="AA377" s="83"/>
      <c r="AB377" s="80"/>
      <c r="AC377" s="7"/>
    </row>
    <row r="378" spans="1:29" x14ac:dyDescent="0.2">
      <c r="A378" s="7"/>
      <c r="B378" s="7" t="str">
        <f t="shared" si="98"/>
        <v/>
      </c>
      <c r="C378" s="10"/>
      <c r="D378" s="72"/>
      <c r="E378" s="12"/>
      <c r="F378" s="12"/>
      <c r="G378" s="7"/>
      <c r="H378" s="7"/>
      <c r="I378" s="7"/>
      <c r="J378" s="7"/>
      <c r="K378" s="40"/>
      <c r="L378" s="137"/>
      <c r="M378" s="137"/>
      <c r="N378" s="137"/>
      <c r="O378" s="137"/>
      <c r="P378" s="13"/>
      <c r="Q378" s="7"/>
      <c r="R378" s="23"/>
      <c r="V378" s="72"/>
      <c r="W378" s="8"/>
      <c r="X378" s="8"/>
      <c r="Y378" s="83"/>
      <c r="Z378" s="83"/>
      <c r="AA378" s="83"/>
      <c r="AB378" s="80"/>
      <c r="AC378" s="7"/>
    </row>
    <row r="379" spans="1:29" x14ac:dyDescent="0.2">
      <c r="A379" s="7"/>
      <c r="B379" s="7" t="str">
        <f t="shared" si="98"/>
        <v/>
      </c>
      <c r="C379" s="10"/>
      <c r="D379" s="72"/>
      <c r="E379" s="12"/>
      <c r="F379" s="12"/>
      <c r="G379" s="7"/>
      <c r="H379" s="7"/>
      <c r="I379" s="7"/>
      <c r="J379" s="7"/>
      <c r="K379" s="40"/>
      <c r="L379" s="137"/>
      <c r="M379" s="137"/>
      <c r="N379" s="137"/>
      <c r="O379" s="137"/>
      <c r="P379" s="13"/>
      <c r="Q379" s="7"/>
      <c r="R379" s="7"/>
      <c r="S379" s="7"/>
      <c r="T379" s="7"/>
      <c r="U379" s="7"/>
      <c r="V379" s="72"/>
      <c r="W379" s="8"/>
      <c r="X379" s="8"/>
      <c r="Y379" s="83"/>
      <c r="Z379" s="83"/>
      <c r="AA379" s="83"/>
      <c r="AB379" s="80"/>
      <c r="AC379" s="7"/>
    </row>
    <row r="380" spans="1:29" x14ac:dyDescent="0.2">
      <c r="A380" s="7"/>
      <c r="B380" s="7" t="str">
        <f t="shared" si="98"/>
        <v/>
      </c>
      <c r="C380" s="10"/>
      <c r="D380" s="72"/>
      <c r="E380" s="12"/>
      <c r="F380" s="12"/>
      <c r="G380" s="7"/>
      <c r="H380" s="7"/>
      <c r="I380" s="7"/>
      <c r="J380" s="7"/>
      <c r="K380" s="40"/>
      <c r="L380" s="137"/>
      <c r="M380" s="137"/>
      <c r="N380" s="137"/>
      <c r="O380" s="137"/>
      <c r="P380" s="13"/>
      <c r="Q380" s="7"/>
      <c r="R380" s="23"/>
      <c r="V380" s="72"/>
      <c r="W380" s="8"/>
      <c r="X380" s="8"/>
      <c r="Y380" s="83"/>
      <c r="Z380" s="83"/>
      <c r="AA380" s="83"/>
      <c r="AB380" s="80"/>
      <c r="AC380" s="7"/>
    </row>
    <row r="381" spans="1:29" x14ac:dyDescent="0.2">
      <c r="A381" s="7"/>
      <c r="B381" s="7" t="str">
        <f t="shared" si="98"/>
        <v/>
      </c>
      <c r="C381" s="10"/>
      <c r="D381" s="72"/>
      <c r="E381" s="12"/>
      <c r="F381" s="12"/>
      <c r="G381" s="7"/>
      <c r="H381" s="7"/>
      <c r="I381" s="7"/>
      <c r="J381" s="7"/>
      <c r="K381" s="40"/>
      <c r="L381" s="137"/>
      <c r="M381" s="137"/>
      <c r="N381" s="137"/>
      <c r="O381" s="137"/>
      <c r="P381" s="13"/>
      <c r="Q381" s="7"/>
      <c r="R381" s="23"/>
      <c r="V381" s="72"/>
      <c r="W381" s="8"/>
      <c r="X381" s="8"/>
      <c r="Y381" s="83"/>
      <c r="Z381" s="83"/>
      <c r="AA381" s="83"/>
      <c r="AB381" s="80"/>
      <c r="AC381" s="7"/>
    </row>
    <row r="382" spans="1:29" x14ac:dyDescent="0.2">
      <c r="A382" s="7"/>
      <c r="B382" s="7" t="str">
        <f t="shared" si="98"/>
        <v/>
      </c>
      <c r="C382" s="10"/>
      <c r="D382" s="72"/>
      <c r="E382" s="12"/>
      <c r="F382" s="12"/>
      <c r="G382" s="7"/>
      <c r="I382" s="23"/>
      <c r="J382" s="7"/>
      <c r="K382" s="40"/>
      <c r="L382" s="137"/>
      <c r="M382" s="137"/>
      <c r="N382" s="137"/>
      <c r="O382" s="137"/>
      <c r="P382" s="13"/>
      <c r="Q382" s="7"/>
      <c r="R382" s="7"/>
      <c r="S382" s="7"/>
      <c r="T382" s="7"/>
      <c r="U382" s="7"/>
      <c r="V382" s="72"/>
      <c r="W382" s="8"/>
      <c r="X382" s="8"/>
      <c r="Y382" s="83"/>
      <c r="Z382" s="83"/>
      <c r="AA382" s="83"/>
      <c r="AB382" s="80"/>
      <c r="AC382" s="7"/>
    </row>
    <row r="383" spans="1:29" x14ac:dyDescent="0.2">
      <c r="A383" s="7"/>
      <c r="B383" s="7" t="str">
        <f t="shared" si="98"/>
        <v/>
      </c>
      <c r="C383" s="10"/>
      <c r="D383" s="72"/>
      <c r="E383" s="12"/>
      <c r="F383" s="12"/>
      <c r="G383" s="7"/>
      <c r="H383" s="7"/>
      <c r="I383" s="7"/>
      <c r="J383" s="7"/>
      <c r="K383" s="40"/>
      <c r="L383" s="137"/>
      <c r="M383" s="137"/>
      <c r="N383" s="137"/>
      <c r="O383" s="137"/>
      <c r="P383" s="13"/>
      <c r="Q383" s="7"/>
      <c r="R383" s="7"/>
      <c r="S383" s="7"/>
      <c r="T383" s="7"/>
      <c r="U383" s="7"/>
      <c r="V383" s="72"/>
      <c r="W383" s="8"/>
      <c r="X383" s="8"/>
      <c r="Y383" s="83"/>
      <c r="Z383" s="83"/>
      <c r="AA383" s="83"/>
      <c r="AB383" s="80"/>
      <c r="AC383" s="7"/>
    </row>
    <row r="384" spans="1:29" x14ac:dyDescent="0.2">
      <c r="A384" s="7"/>
      <c r="B384" s="7" t="str">
        <f t="shared" si="98"/>
        <v/>
      </c>
      <c r="C384" s="10"/>
      <c r="D384" s="72"/>
      <c r="E384" s="12"/>
      <c r="F384" s="12"/>
      <c r="G384" s="7"/>
      <c r="H384" s="7"/>
      <c r="I384" s="7"/>
      <c r="J384" s="7"/>
      <c r="K384" s="40"/>
      <c r="L384" s="137"/>
      <c r="M384" s="137"/>
      <c r="N384" s="137"/>
      <c r="O384" s="137"/>
      <c r="P384" s="13"/>
      <c r="Q384" s="7"/>
      <c r="R384" s="7"/>
      <c r="S384" s="7"/>
      <c r="T384" s="7"/>
      <c r="U384" s="7"/>
      <c r="V384" s="72"/>
      <c r="W384" s="8"/>
      <c r="X384" s="8"/>
      <c r="Y384" s="83"/>
      <c r="Z384" s="83"/>
      <c r="AA384" s="83"/>
      <c r="AB384" s="80"/>
      <c r="AC384" s="7"/>
    </row>
    <row r="385" spans="1:29" x14ac:dyDescent="0.2">
      <c r="A385" s="7"/>
      <c r="B385" s="7" t="str">
        <f t="shared" si="98"/>
        <v/>
      </c>
      <c r="C385" s="10"/>
      <c r="D385" s="72"/>
      <c r="E385" s="12"/>
      <c r="F385" s="12"/>
      <c r="G385" s="7"/>
      <c r="H385" s="7"/>
      <c r="I385" s="7"/>
      <c r="J385" s="23"/>
      <c r="K385" s="40"/>
      <c r="L385" s="137"/>
      <c r="M385" s="137"/>
      <c r="N385" s="137"/>
      <c r="O385" s="137"/>
      <c r="P385" s="13"/>
      <c r="Q385" s="7"/>
      <c r="R385" s="7"/>
      <c r="S385" s="7"/>
      <c r="T385" s="7"/>
      <c r="U385" s="7"/>
      <c r="V385" s="72"/>
      <c r="W385" s="8"/>
      <c r="X385" s="8"/>
      <c r="Y385" s="83"/>
      <c r="Z385" s="83"/>
      <c r="AA385" s="83"/>
      <c r="AB385" s="80"/>
      <c r="AC385" s="7"/>
    </row>
    <row r="386" spans="1:29" x14ac:dyDescent="0.2">
      <c r="A386" s="7"/>
      <c r="B386" s="7" t="str">
        <f t="shared" si="98"/>
        <v/>
      </c>
      <c r="C386" s="10"/>
      <c r="D386" s="72"/>
      <c r="E386" s="12"/>
      <c r="F386" s="12"/>
      <c r="G386" s="7"/>
      <c r="H386" s="7"/>
      <c r="I386" s="7"/>
      <c r="J386" s="7"/>
      <c r="K386" s="40"/>
      <c r="L386" s="137"/>
      <c r="M386" s="137"/>
      <c r="N386" s="137"/>
      <c r="O386" s="137"/>
      <c r="P386" s="13"/>
      <c r="Q386" s="7"/>
      <c r="R386" s="7"/>
      <c r="S386" s="7"/>
      <c r="T386" s="7"/>
      <c r="U386" s="7"/>
      <c r="V386" s="72"/>
      <c r="W386" s="8"/>
      <c r="X386" s="8"/>
      <c r="Y386" s="83"/>
      <c r="Z386" s="83"/>
      <c r="AA386" s="83"/>
      <c r="AB386" s="80"/>
      <c r="AC386" s="7"/>
    </row>
    <row r="387" spans="1:29" x14ac:dyDescent="0.2">
      <c r="A387" s="7"/>
      <c r="B387" s="7" t="str">
        <f t="shared" si="98"/>
        <v/>
      </c>
      <c r="C387" s="10"/>
      <c r="D387" s="72"/>
      <c r="E387" s="12"/>
      <c r="F387" s="12"/>
      <c r="G387" s="7"/>
      <c r="H387" s="7"/>
      <c r="I387" s="7"/>
      <c r="J387" s="7"/>
      <c r="K387" s="40"/>
      <c r="L387" s="137"/>
      <c r="M387" s="137"/>
      <c r="N387" s="137"/>
      <c r="O387" s="137"/>
      <c r="P387" s="13"/>
      <c r="Q387" s="7"/>
      <c r="R387" s="23"/>
      <c r="V387" s="72"/>
      <c r="W387" s="8"/>
      <c r="X387" s="8"/>
      <c r="Y387" s="83"/>
      <c r="Z387" s="83"/>
      <c r="AA387" s="83"/>
      <c r="AB387" s="80"/>
      <c r="AC387" s="7"/>
    </row>
    <row r="388" spans="1:29" x14ac:dyDescent="0.2">
      <c r="A388" s="7"/>
      <c r="B388" s="7" t="str">
        <f t="shared" si="98"/>
        <v/>
      </c>
      <c r="C388" s="10"/>
      <c r="D388" s="72"/>
      <c r="E388" s="12"/>
      <c r="F388" s="12"/>
      <c r="G388" s="7"/>
      <c r="H388" s="7"/>
      <c r="I388" s="7"/>
      <c r="J388" s="7"/>
      <c r="K388" s="40"/>
      <c r="L388" s="137"/>
      <c r="M388" s="137"/>
      <c r="N388" s="137"/>
      <c r="O388" s="137"/>
      <c r="P388" s="13"/>
      <c r="Q388" s="7"/>
      <c r="R388" s="23"/>
      <c r="V388" s="72"/>
      <c r="W388" s="8"/>
      <c r="X388" s="8"/>
      <c r="Y388" s="83"/>
      <c r="Z388" s="83"/>
      <c r="AA388" s="83"/>
      <c r="AB388" s="80"/>
      <c r="AC388" s="7"/>
    </row>
    <row r="389" spans="1:29" x14ac:dyDescent="0.2">
      <c r="A389" s="7"/>
      <c r="B389" s="7" t="str">
        <f t="shared" si="98"/>
        <v/>
      </c>
      <c r="C389" s="10"/>
      <c r="D389" s="72"/>
      <c r="E389" s="12"/>
      <c r="F389" s="12"/>
      <c r="G389" s="7"/>
      <c r="H389" s="7"/>
      <c r="I389" s="7"/>
      <c r="J389" s="7"/>
      <c r="K389" s="40"/>
      <c r="L389" s="137"/>
      <c r="M389" s="137"/>
      <c r="N389" s="137"/>
      <c r="O389" s="137"/>
      <c r="P389" s="13"/>
      <c r="Q389" s="7"/>
      <c r="R389" s="7"/>
      <c r="S389" s="7"/>
      <c r="T389" s="7"/>
      <c r="U389" s="7"/>
      <c r="V389" s="72"/>
      <c r="W389" s="8"/>
      <c r="X389" s="8"/>
      <c r="Y389" s="83"/>
      <c r="Z389" s="83"/>
      <c r="AA389" s="83"/>
      <c r="AB389" s="80"/>
      <c r="AC389" s="7"/>
    </row>
    <row r="390" spans="1:29" x14ac:dyDescent="0.2">
      <c r="A390" s="7"/>
      <c r="B390" s="7" t="str">
        <f t="shared" si="98"/>
        <v/>
      </c>
      <c r="C390" s="10"/>
      <c r="D390" s="72"/>
      <c r="E390" s="12"/>
      <c r="F390" s="12"/>
      <c r="G390" s="7"/>
      <c r="H390" s="7"/>
      <c r="I390" s="7"/>
      <c r="J390" s="7"/>
      <c r="K390" s="40"/>
      <c r="L390" s="137"/>
      <c r="M390" s="137"/>
      <c r="N390" s="137"/>
      <c r="O390" s="137"/>
      <c r="P390" s="13"/>
      <c r="Q390" s="7"/>
      <c r="R390" s="7"/>
      <c r="S390" s="7"/>
      <c r="T390" s="7"/>
      <c r="U390" s="7"/>
      <c r="V390" s="72"/>
      <c r="W390" s="8"/>
      <c r="X390" s="8"/>
      <c r="Y390" s="83"/>
      <c r="Z390" s="83"/>
      <c r="AA390" s="83"/>
      <c r="AB390" s="80"/>
      <c r="AC390" s="7"/>
    </row>
    <row r="391" spans="1:29" x14ac:dyDescent="0.2">
      <c r="A391" s="7"/>
      <c r="B391" s="7" t="str">
        <f t="shared" si="98"/>
        <v/>
      </c>
      <c r="C391" s="10"/>
      <c r="D391" s="72"/>
      <c r="E391" s="12"/>
      <c r="F391" s="12"/>
      <c r="G391" s="7"/>
      <c r="H391" s="7"/>
      <c r="I391" s="7"/>
      <c r="J391" s="7"/>
      <c r="K391" s="40"/>
      <c r="L391" s="137"/>
      <c r="M391" s="137"/>
      <c r="N391" s="137"/>
      <c r="O391" s="137"/>
      <c r="P391" s="13"/>
      <c r="Q391" s="7"/>
      <c r="R391" s="23"/>
      <c r="V391" s="72"/>
      <c r="W391" s="8"/>
      <c r="X391" s="8"/>
      <c r="Y391" s="83"/>
      <c r="Z391" s="83"/>
      <c r="AA391" s="83"/>
      <c r="AB391" s="80"/>
      <c r="AC391" s="7"/>
    </row>
    <row r="392" spans="1:29" x14ac:dyDescent="0.2">
      <c r="A392" s="7"/>
      <c r="B392" s="7" t="str">
        <f t="shared" si="98"/>
        <v/>
      </c>
      <c r="C392" s="10"/>
      <c r="D392" s="72"/>
      <c r="E392" s="12"/>
      <c r="F392" s="12"/>
      <c r="G392" s="7"/>
      <c r="H392" s="7"/>
      <c r="I392" s="7"/>
      <c r="J392" s="7"/>
      <c r="K392" s="40"/>
      <c r="L392" s="137"/>
      <c r="M392" s="137"/>
      <c r="N392" s="137"/>
      <c r="O392" s="137"/>
      <c r="P392" s="13"/>
      <c r="Q392" s="7"/>
      <c r="R392" s="7"/>
      <c r="S392" s="7"/>
      <c r="T392" s="7"/>
      <c r="U392" s="7"/>
      <c r="V392" s="72"/>
      <c r="W392" s="8"/>
      <c r="X392" s="8"/>
      <c r="Y392" s="83"/>
      <c r="Z392" s="83"/>
      <c r="AA392" s="83"/>
      <c r="AB392" s="80"/>
      <c r="AC392" s="7"/>
    </row>
    <row r="393" spans="1:29" x14ac:dyDescent="0.2">
      <c r="A393" s="7"/>
      <c r="B393" s="7" t="str">
        <f t="shared" si="98"/>
        <v/>
      </c>
      <c r="C393" s="10"/>
      <c r="D393" s="72"/>
      <c r="E393" s="12"/>
      <c r="F393" s="12"/>
      <c r="G393" s="7"/>
      <c r="H393" s="7"/>
      <c r="I393" s="7"/>
      <c r="J393" s="7"/>
      <c r="K393" s="40"/>
      <c r="L393" s="137"/>
      <c r="M393" s="137"/>
      <c r="N393" s="137"/>
      <c r="O393" s="137"/>
      <c r="P393" s="13"/>
      <c r="Q393" s="7"/>
      <c r="R393" s="7"/>
      <c r="S393" s="7"/>
      <c r="T393" s="7"/>
      <c r="U393" s="7"/>
      <c r="V393" s="72"/>
      <c r="W393" s="8"/>
      <c r="X393" s="8"/>
      <c r="Y393" s="83"/>
      <c r="Z393" s="83"/>
      <c r="AA393" s="83"/>
      <c r="AB393" s="80"/>
      <c r="AC393" s="7"/>
    </row>
    <row r="394" spans="1:29" x14ac:dyDescent="0.2">
      <c r="A394" s="7"/>
      <c r="B394" s="7" t="str">
        <f t="shared" si="98"/>
        <v/>
      </c>
      <c r="C394" s="10"/>
      <c r="D394" s="72"/>
      <c r="E394" s="12"/>
      <c r="F394" s="12"/>
      <c r="G394" s="7"/>
      <c r="H394" s="7"/>
      <c r="I394" s="7"/>
      <c r="J394" s="7"/>
      <c r="K394" s="40"/>
      <c r="L394" s="137"/>
      <c r="M394" s="137"/>
      <c r="N394" s="137"/>
      <c r="O394" s="137"/>
      <c r="P394" s="13"/>
      <c r="Q394" s="7"/>
      <c r="R394" s="7"/>
      <c r="S394" s="7"/>
      <c r="T394" s="7"/>
      <c r="U394" s="7"/>
      <c r="V394" s="72"/>
      <c r="W394" s="8"/>
      <c r="X394" s="8"/>
      <c r="Y394" s="83"/>
      <c r="Z394" s="83"/>
      <c r="AA394" s="83"/>
      <c r="AB394" s="80"/>
      <c r="AC394" s="7"/>
    </row>
    <row r="395" spans="1:29" x14ac:dyDescent="0.2">
      <c r="A395" s="7"/>
      <c r="B395" s="7" t="str">
        <f t="shared" si="98"/>
        <v/>
      </c>
      <c r="C395" s="10"/>
      <c r="D395" s="72"/>
      <c r="E395" s="12"/>
      <c r="F395" s="12"/>
      <c r="G395" s="7"/>
      <c r="H395" s="7"/>
      <c r="I395" s="7"/>
      <c r="J395" s="7"/>
      <c r="K395" s="40"/>
      <c r="L395" s="137"/>
      <c r="M395" s="137"/>
      <c r="N395" s="137"/>
      <c r="O395" s="137"/>
      <c r="P395" s="13"/>
      <c r="Q395" s="7"/>
      <c r="R395" s="23"/>
      <c r="V395" s="72"/>
      <c r="W395" s="8"/>
      <c r="X395" s="8"/>
      <c r="Y395" s="83"/>
      <c r="Z395" s="83"/>
      <c r="AA395" s="83"/>
      <c r="AB395" s="80"/>
      <c r="AC395" s="7"/>
    </row>
    <row r="396" spans="1:29" x14ac:dyDescent="0.2">
      <c r="A396" s="7"/>
      <c r="B396" s="7" t="str">
        <f t="shared" si="98"/>
        <v/>
      </c>
      <c r="C396" s="10"/>
      <c r="D396" s="72"/>
      <c r="E396" s="12"/>
      <c r="F396" s="12"/>
      <c r="G396" s="7"/>
      <c r="H396" s="7"/>
      <c r="I396" s="7"/>
      <c r="J396" s="7"/>
      <c r="K396" s="40"/>
      <c r="L396" s="137"/>
      <c r="M396" s="137"/>
      <c r="N396" s="137"/>
      <c r="O396" s="137"/>
      <c r="P396" s="13"/>
      <c r="Q396" s="7"/>
      <c r="R396" s="23"/>
      <c r="V396" s="72"/>
      <c r="W396" s="8"/>
      <c r="X396" s="8"/>
      <c r="Y396" s="83"/>
      <c r="Z396" s="83"/>
      <c r="AA396" s="83"/>
      <c r="AB396" s="80"/>
      <c r="AC396" s="7"/>
    </row>
    <row r="397" spans="1:29" x14ac:dyDescent="0.2">
      <c r="A397" s="7"/>
      <c r="B397" s="7" t="str">
        <f t="shared" si="98"/>
        <v/>
      </c>
      <c r="C397" s="10"/>
      <c r="D397" s="72"/>
      <c r="E397" s="12"/>
      <c r="F397" s="12"/>
      <c r="G397" s="7"/>
      <c r="H397" s="7"/>
      <c r="I397" s="7"/>
      <c r="J397" s="7"/>
      <c r="K397" s="40"/>
      <c r="L397" s="137"/>
      <c r="M397" s="137"/>
      <c r="N397" s="137"/>
      <c r="O397" s="137"/>
      <c r="P397" s="13"/>
      <c r="Q397" s="7"/>
      <c r="R397" s="7"/>
      <c r="S397" s="7"/>
      <c r="T397" s="7"/>
      <c r="U397" s="7"/>
      <c r="V397" s="72"/>
      <c r="W397" s="8"/>
      <c r="X397" s="8"/>
      <c r="Y397" s="83"/>
      <c r="Z397" s="83"/>
      <c r="AA397" s="83"/>
      <c r="AB397" s="80"/>
      <c r="AC397" s="7"/>
    </row>
    <row r="398" spans="1:29" x14ac:dyDescent="0.2">
      <c r="A398" s="7"/>
      <c r="B398" s="7" t="str">
        <f t="shared" si="98"/>
        <v/>
      </c>
      <c r="C398" s="10"/>
      <c r="D398" s="72"/>
      <c r="E398" s="12"/>
      <c r="F398" s="12"/>
      <c r="G398" s="7"/>
      <c r="H398" s="7"/>
      <c r="I398" s="7"/>
      <c r="J398" s="7"/>
      <c r="K398" s="40"/>
      <c r="L398" s="137"/>
      <c r="M398" s="137"/>
      <c r="N398" s="137"/>
      <c r="O398" s="137"/>
      <c r="P398" s="13"/>
      <c r="Q398" s="7"/>
      <c r="R398" s="7"/>
      <c r="S398" s="7"/>
      <c r="T398" s="7"/>
      <c r="U398" s="7"/>
      <c r="V398" s="72"/>
      <c r="W398" s="8"/>
      <c r="X398" s="8"/>
      <c r="Y398" s="83"/>
      <c r="Z398" s="83"/>
      <c r="AA398" s="83"/>
      <c r="AB398" s="80"/>
      <c r="AC398" s="7"/>
    </row>
    <row r="399" spans="1:29" x14ac:dyDescent="0.2">
      <c r="A399" s="7"/>
      <c r="B399" s="7" t="str">
        <f t="shared" si="98"/>
        <v/>
      </c>
      <c r="C399" s="10"/>
      <c r="D399" s="72"/>
      <c r="E399" s="12"/>
      <c r="F399" s="12"/>
      <c r="G399" s="7"/>
      <c r="H399" s="7"/>
      <c r="I399" s="7"/>
      <c r="J399" s="7"/>
      <c r="K399" s="40"/>
      <c r="L399" s="137"/>
      <c r="M399" s="137"/>
      <c r="N399" s="137"/>
      <c r="O399" s="137"/>
      <c r="P399" s="13"/>
      <c r="Q399" s="7"/>
      <c r="R399" s="7"/>
      <c r="S399" s="7"/>
      <c r="T399" s="7"/>
      <c r="U399" s="7"/>
      <c r="V399" s="72"/>
      <c r="W399" s="8"/>
      <c r="X399" s="8"/>
      <c r="Y399" s="83"/>
      <c r="Z399" s="83"/>
      <c r="AA399" s="83"/>
      <c r="AB399" s="80"/>
      <c r="AC399" s="7"/>
    </row>
    <row r="400" spans="1:29" x14ac:dyDescent="0.2">
      <c r="A400" s="7"/>
      <c r="B400" s="7" t="str">
        <f t="shared" si="98"/>
        <v/>
      </c>
      <c r="C400" s="10"/>
      <c r="D400" s="72"/>
      <c r="E400" s="12"/>
      <c r="F400" s="12"/>
      <c r="G400" s="7"/>
      <c r="H400" s="7"/>
      <c r="I400" s="7"/>
      <c r="J400" s="7"/>
      <c r="K400" s="40"/>
      <c r="L400" s="137"/>
      <c r="M400" s="137"/>
      <c r="N400" s="137"/>
      <c r="O400" s="137"/>
      <c r="P400" s="13"/>
      <c r="Q400" s="7"/>
      <c r="R400" s="7"/>
      <c r="S400" s="7"/>
      <c r="T400" s="7"/>
      <c r="U400" s="7"/>
      <c r="V400" s="72"/>
      <c r="W400" s="8"/>
      <c r="X400" s="8"/>
      <c r="Y400" s="83"/>
      <c r="Z400" s="83"/>
      <c r="AA400" s="83"/>
      <c r="AB400" s="80"/>
      <c r="AC400" s="7"/>
    </row>
    <row r="401" spans="1:29" x14ac:dyDescent="0.2">
      <c r="A401" s="7"/>
      <c r="B401" s="7" t="str">
        <f t="shared" si="98"/>
        <v/>
      </c>
      <c r="C401" s="10"/>
      <c r="D401" s="72"/>
      <c r="E401" s="12"/>
      <c r="F401" s="12"/>
      <c r="G401" s="7"/>
      <c r="H401" s="7"/>
      <c r="I401" s="7"/>
      <c r="J401" s="7"/>
      <c r="K401" s="40"/>
      <c r="L401" s="137"/>
      <c r="M401" s="137"/>
      <c r="N401" s="137"/>
      <c r="O401" s="137"/>
      <c r="P401" s="13"/>
      <c r="Q401" s="7"/>
      <c r="R401" s="7"/>
      <c r="S401" s="7"/>
      <c r="T401" s="7"/>
      <c r="U401" s="7"/>
      <c r="V401" s="72"/>
      <c r="W401" s="8"/>
      <c r="X401" s="8"/>
      <c r="Y401" s="83"/>
      <c r="Z401" s="83"/>
      <c r="AA401" s="83"/>
      <c r="AB401" s="80"/>
      <c r="AC401" s="7"/>
    </row>
    <row r="402" spans="1:29" x14ac:dyDescent="0.2">
      <c r="A402" s="7"/>
      <c r="B402" s="7" t="str">
        <f t="shared" si="98"/>
        <v/>
      </c>
      <c r="C402" s="10"/>
      <c r="D402" s="72"/>
      <c r="E402" s="12"/>
      <c r="F402" s="12"/>
      <c r="G402" s="7"/>
      <c r="H402" s="7"/>
      <c r="I402" s="7"/>
      <c r="J402" s="7"/>
      <c r="K402" s="40"/>
      <c r="L402" s="137"/>
      <c r="M402" s="137"/>
      <c r="N402" s="137"/>
      <c r="O402" s="137"/>
      <c r="P402" s="13"/>
      <c r="Q402" s="7"/>
      <c r="R402" s="7"/>
      <c r="S402" s="7"/>
      <c r="T402" s="7"/>
      <c r="U402" s="7"/>
      <c r="V402" s="72"/>
      <c r="W402" s="8"/>
      <c r="X402" s="8"/>
      <c r="Y402" s="83"/>
      <c r="Z402" s="83"/>
      <c r="AA402" s="83"/>
      <c r="AB402" s="80"/>
      <c r="AC402" s="7"/>
    </row>
    <row r="403" spans="1:29" x14ac:dyDescent="0.2">
      <c r="A403" s="7"/>
      <c r="B403" s="7" t="str">
        <f t="shared" ref="B403:B466" si="99">LEFT(C403,12)</f>
        <v/>
      </c>
      <c r="C403" s="10"/>
      <c r="D403" s="72"/>
      <c r="E403" s="12"/>
      <c r="F403" s="12"/>
      <c r="G403" s="7"/>
      <c r="H403" s="7"/>
      <c r="I403" s="7"/>
      <c r="J403" s="7"/>
      <c r="K403" s="40"/>
      <c r="L403" s="137"/>
      <c r="M403" s="137"/>
      <c r="N403" s="137"/>
      <c r="O403" s="137"/>
      <c r="P403" s="13"/>
      <c r="Q403" s="7"/>
      <c r="R403" s="7"/>
      <c r="S403" s="7"/>
      <c r="T403" s="7"/>
      <c r="U403" s="7"/>
      <c r="V403" s="72"/>
      <c r="W403" s="8"/>
      <c r="X403" s="8"/>
      <c r="Y403" s="83"/>
      <c r="Z403" s="83"/>
      <c r="AA403" s="83"/>
      <c r="AB403" s="80"/>
      <c r="AC403" s="7"/>
    </row>
    <row r="404" spans="1:29" x14ac:dyDescent="0.2">
      <c r="A404" s="7"/>
      <c r="B404" s="7" t="str">
        <f t="shared" si="99"/>
        <v/>
      </c>
      <c r="C404" s="10"/>
      <c r="D404" s="72"/>
      <c r="E404" s="12"/>
      <c r="F404" s="12"/>
      <c r="G404" s="7"/>
      <c r="H404" s="7"/>
      <c r="I404" s="7"/>
      <c r="J404" s="7"/>
      <c r="K404" s="40"/>
      <c r="L404" s="137"/>
      <c r="M404" s="137"/>
      <c r="N404" s="137"/>
      <c r="O404" s="137"/>
      <c r="P404" s="13"/>
      <c r="Q404" s="7"/>
      <c r="R404" s="23"/>
      <c r="V404" s="72"/>
      <c r="W404" s="8"/>
      <c r="X404" s="8"/>
      <c r="Y404" s="83"/>
      <c r="Z404" s="83"/>
      <c r="AA404" s="83"/>
      <c r="AB404" s="80"/>
      <c r="AC404" s="7"/>
    </row>
    <row r="405" spans="1:29" x14ac:dyDescent="0.2">
      <c r="A405" s="7"/>
      <c r="B405" s="7" t="str">
        <f t="shared" si="99"/>
        <v/>
      </c>
      <c r="C405" s="10"/>
      <c r="D405" s="72"/>
      <c r="E405" s="12"/>
      <c r="F405" s="12"/>
      <c r="G405" s="7"/>
      <c r="H405" s="7"/>
      <c r="I405" s="7"/>
      <c r="J405" s="7"/>
      <c r="K405" s="40"/>
      <c r="L405" s="137"/>
      <c r="M405" s="137"/>
      <c r="N405" s="137"/>
      <c r="O405" s="137"/>
      <c r="P405" s="13"/>
      <c r="Q405" s="7"/>
      <c r="R405" s="23"/>
      <c r="V405" s="72"/>
      <c r="W405" s="8"/>
      <c r="X405" s="8"/>
      <c r="Y405" s="83"/>
      <c r="Z405" s="83"/>
      <c r="AA405" s="83"/>
      <c r="AB405" s="80"/>
      <c r="AC405" s="7"/>
    </row>
    <row r="406" spans="1:29" x14ac:dyDescent="0.2">
      <c r="A406" s="7"/>
      <c r="B406" s="7" t="str">
        <f t="shared" si="99"/>
        <v/>
      </c>
      <c r="C406" s="10"/>
      <c r="D406" s="31"/>
      <c r="E406" s="12"/>
      <c r="F406" s="12"/>
      <c r="G406" s="7"/>
      <c r="H406" s="7"/>
      <c r="I406" s="7"/>
      <c r="J406" s="7"/>
      <c r="K406" s="40"/>
      <c r="L406" s="137"/>
      <c r="M406" s="137"/>
      <c r="N406" s="137"/>
      <c r="O406" s="137"/>
      <c r="P406" s="13"/>
      <c r="Q406" s="7"/>
      <c r="R406" s="7"/>
      <c r="S406" s="7"/>
      <c r="T406" s="7"/>
      <c r="U406" s="7"/>
      <c r="V406" s="31"/>
      <c r="W406" s="8"/>
      <c r="X406" s="8"/>
      <c r="Y406" s="83"/>
      <c r="Z406" s="83"/>
      <c r="AA406" s="83"/>
      <c r="AB406" s="80"/>
      <c r="AC406" s="7"/>
    </row>
    <row r="407" spans="1:29" x14ac:dyDescent="0.2">
      <c r="A407" s="7"/>
      <c r="B407" s="7" t="str">
        <f t="shared" si="99"/>
        <v/>
      </c>
      <c r="C407" s="10"/>
      <c r="D407" s="31"/>
      <c r="E407" s="12"/>
      <c r="F407" s="12"/>
      <c r="G407" s="7"/>
      <c r="H407" s="7"/>
      <c r="I407" s="7"/>
      <c r="J407" s="7"/>
      <c r="K407" s="40"/>
      <c r="L407" s="137"/>
      <c r="M407" s="137"/>
      <c r="N407" s="137"/>
      <c r="O407" s="137"/>
      <c r="P407" s="13"/>
      <c r="Q407" s="7"/>
      <c r="R407" s="7"/>
      <c r="S407" s="7"/>
      <c r="T407" s="7"/>
      <c r="U407" s="7"/>
      <c r="V407" s="31"/>
      <c r="W407" s="8"/>
      <c r="X407" s="8"/>
      <c r="Y407" s="83"/>
      <c r="Z407" s="83"/>
      <c r="AA407" s="83"/>
      <c r="AB407" s="80"/>
      <c r="AC407" s="7"/>
    </row>
    <row r="408" spans="1:29" x14ac:dyDescent="0.2">
      <c r="A408" s="7"/>
      <c r="B408" s="7" t="str">
        <f t="shared" si="99"/>
        <v/>
      </c>
      <c r="C408" s="10"/>
      <c r="D408" s="31"/>
      <c r="E408" s="12"/>
      <c r="F408" s="12"/>
      <c r="G408" s="7"/>
      <c r="H408" s="7"/>
      <c r="I408" s="7"/>
      <c r="J408" s="7"/>
      <c r="K408" s="40"/>
      <c r="L408" s="137"/>
      <c r="M408" s="137"/>
      <c r="N408" s="137"/>
      <c r="O408" s="137"/>
      <c r="P408" s="13"/>
      <c r="Q408" s="7"/>
      <c r="R408" s="7"/>
      <c r="S408" s="7"/>
      <c r="T408" s="7"/>
      <c r="U408" s="7"/>
      <c r="V408" s="31"/>
      <c r="W408" s="8"/>
      <c r="X408" s="8"/>
      <c r="Y408" s="83"/>
      <c r="Z408" s="83"/>
      <c r="AA408" s="83"/>
      <c r="AB408" s="80"/>
      <c r="AC408" s="7"/>
    </row>
    <row r="409" spans="1:29" x14ac:dyDescent="0.2">
      <c r="A409" s="7"/>
      <c r="B409" s="7" t="str">
        <f t="shared" si="99"/>
        <v/>
      </c>
      <c r="C409" s="10"/>
      <c r="D409" s="31"/>
      <c r="E409" s="12"/>
      <c r="F409" s="12"/>
      <c r="G409" s="7"/>
      <c r="H409" s="7"/>
      <c r="I409" s="7"/>
      <c r="J409" s="7"/>
      <c r="K409" s="40"/>
      <c r="L409" s="137"/>
      <c r="M409" s="137"/>
      <c r="N409" s="137"/>
      <c r="O409" s="137"/>
      <c r="P409" s="13"/>
      <c r="Q409" s="7"/>
      <c r="R409" s="7"/>
      <c r="S409" s="7"/>
      <c r="T409" s="7"/>
      <c r="U409" s="7"/>
      <c r="V409" s="31"/>
      <c r="W409" s="8"/>
      <c r="X409" s="8"/>
      <c r="Y409" s="83"/>
      <c r="Z409" s="83"/>
      <c r="AA409" s="83"/>
      <c r="AB409" s="80"/>
      <c r="AC409" s="7"/>
    </row>
    <row r="410" spans="1:29" x14ac:dyDescent="0.2">
      <c r="A410" s="7"/>
      <c r="B410" s="7" t="str">
        <f t="shared" si="99"/>
        <v/>
      </c>
      <c r="C410" s="10"/>
      <c r="D410" s="31"/>
      <c r="E410" s="12"/>
      <c r="F410" s="12"/>
      <c r="G410" s="7"/>
      <c r="H410" s="7"/>
      <c r="I410" s="7"/>
      <c r="J410" s="7"/>
      <c r="K410" s="40"/>
      <c r="L410" s="137"/>
      <c r="M410" s="137"/>
      <c r="N410" s="137"/>
      <c r="O410" s="137"/>
      <c r="P410" s="13"/>
      <c r="Q410" s="7"/>
      <c r="R410" s="23"/>
      <c r="V410" s="31"/>
      <c r="W410" s="8"/>
      <c r="X410" s="8"/>
      <c r="Y410" s="83"/>
      <c r="Z410" s="83"/>
      <c r="AA410" s="83"/>
      <c r="AB410" s="80"/>
      <c r="AC410" s="7"/>
    </row>
    <row r="411" spans="1:29" x14ac:dyDescent="0.2">
      <c r="A411" s="7"/>
      <c r="B411" s="7" t="str">
        <f t="shared" si="99"/>
        <v/>
      </c>
      <c r="C411" s="10"/>
      <c r="D411" s="31"/>
      <c r="E411" s="12"/>
      <c r="F411" s="12"/>
      <c r="G411" s="7"/>
      <c r="H411" s="7"/>
      <c r="I411" s="7"/>
      <c r="J411" s="7"/>
      <c r="K411" s="40"/>
      <c r="L411" s="137"/>
      <c r="M411" s="137"/>
      <c r="N411" s="137"/>
      <c r="O411" s="137"/>
      <c r="P411" s="13"/>
      <c r="Q411" s="7"/>
      <c r="R411" s="7"/>
      <c r="S411" s="7"/>
      <c r="T411" s="7"/>
      <c r="U411" s="7"/>
      <c r="V411" s="31"/>
      <c r="W411" s="8"/>
      <c r="X411" s="8"/>
      <c r="Y411" s="83"/>
      <c r="Z411" s="83"/>
      <c r="AA411" s="83"/>
      <c r="AB411" s="80"/>
      <c r="AC411" s="7"/>
    </row>
    <row r="412" spans="1:29" x14ac:dyDescent="0.2">
      <c r="A412" s="7"/>
      <c r="B412" s="7" t="str">
        <f t="shared" si="99"/>
        <v/>
      </c>
      <c r="C412" s="10"/>
      <c r="D412" s="31"/>
      <c r="E412" s="12"/>
      <c r="F412" s="12"/>
      <c r="G412" s="7"/>
      <c r="H412" s="7"/>
      <c r="I412" s="7"/>
      <c r="J412" s="7"/>
      <c r="K412" s="40"/>
      <c r="L412" s="137"/>
      <c r="M412" s="137"/>
      <c r="N412" s="137"/>
      <c r="O412" s="137"/>
      <c r="P412" s="13"/>
      <c r="Q412" s="7"/>
      <c r="R412" s="23"/>
      <c r="V412" s="31"/>
      <c r="W412" s="8"/>
      <c r="X412" s="8"/>
      <c r="Y412" s="83"/>
      <c r="Z412" s="83"/>
      <c r="AA412" s="83"/>
      <c r="AB412" s="80"/>
      <c r="AC412" s="7"/>
    </row>
    <row r="413" spans="1:29" x14ac:dyDescent="0.2">
      <c r="A413" s="7"/>
      <c r="B413" s="7" t="str">
        <f t="shared" si="99"/>
        <v/>
      </c>
      <c r="C413" s="10"/>
      <c r="D413" s="31"/>
      <c r="E413" s="12"/>
      <c r="F413" s="12"/>
      <c r="G413" s="7"/>
      <c r="H413" s="7"/>
      <c r="I413" s="7"/>
      <c r="J413" s="7"/>
      <c r="K413" s="40"/>
      <c r="L413" s="137"/>
      <c r="M413" s="137"/>
      <c r="N413" s="137"/>
      <c r="O413" s="137"/>
      <c r="P413" s="13"/>
      <c r="Q413" s="7"/>
      <c r="R413" s="7"/>
      <c r="S413" s="7"/>
      <c r="T413" s="7"/>
      <c r="U413" s="7"/>
      <c r="V413" s="31"/>
      <c r="W413" s="8"/>
      <c r="X413" s="8"/>
      <c r="Y413" s="83"/>
      <c r="Z413" s="83"/>
      <c r="AA413" s="83"/>
      <c r="AB413" s="80"/>
      <c r="AC413" s="7"/>
    </row>
    <row r="414" spans="1:29" x14ac:dyDescent="0.2">
      <c r="A414" s="7"/>
      <c r="B414" s="7" t="str">
        <f t="shared" si="99"/>
        <v/>
      </c>
      <c r="C414" s="10"/>
      <c r="D414" s="31"/>
      <c r="E414" s="12"/>
      <c r="F414" s="12"/>
      <c r="G414" s="7"/>
      <c r="H414" s="7"/>
      <c r="I414" s="7"/>
      <c r="J414" s="7"/>
      <c r="K414" s="40"/>
      <c r="L414" s="137"/>
      <c r="M414" s="137"/>
      <c r="N414" s="137"/>
      <c r="O414" s="137"/>
      <c r="P414" s="13"/>
      <c r="Q414" s="7"/>
      <c r="R414" s="7"/>
      <c r="S414" s="7"/>
      <c r="T414" s="7"/>
      <c r="U414" s="7"/>
      <c r="V414" s="31"/>
      <c r="W414" s="8"/>
      <c r="X414" s="8"/>
      <c r="Y414" s="83"/>
      <c r="Z414" s="83"/>
      <c r="AA414" s="83"/>
      <c r="AB414" s="80"/>
      <c r="AC414" s="7"/>
    </row>
    <row r="415" spans="1:29" x14ac:dyDescent="0.2">
      <c r="A415" s="7"/>
      <c r="B415" s="7" t="str">
        <f t="shared" si="99"/>
        <v/>
      </c>
      <c r="C415" s="10"/>
      <c r="D415" s="31"/>
      <c r="E415" s="12"/>
      <c r="F415" s="12"/>
      <c r="G415" s="7"/>
      <c r="H415" s="7"/>
      <c r="I415" s="7"/>
      <c r="J415" s="7"/>
      <c r="K415" s="40"/>
      <c r="L415" s="137"/>
      <c r="M415" s="137"/>
      <c r="N415" s="137"/>
      <c r="O415" s="137"/>
      <c r="P415" s="13"/>
      <c r="Q415" s="7"/>
      <c r="R415" s="23"/>
      <c r="V415" s="31"/>
      <c r="W415" s="8"/>
      <c r="X415" s="8"/>
      <c r="Y415" s="83"/>
      <c r="Z415" s="83"/>
      <c r="AA415" s="83"/>
      <c r="AB415" s="80"/>
      <c r="AC415" s="7"/>
    </row>
    <row r="416" spans="1:29" x14ac:dyDescent="0.2">
      <c r="A416" s="7"/>
      <c r="B416" s="7" t="str">
        <f t="shared" si="99"/>
        <v/>
      </c>
      <c r="C416" s="10"/>
      <c r="D416" s="31"/>
      <c r="E416" s="12"/>
      <c r="F416" s="12"/>
      <c r="G416" s="7"/>
      <c r="H416" s="7"/>
      <c r="I416" s="7"/>
      <c r="J416" s="7"/>
      <c r="K416" s="40"/>
      <c r="L416" s="137"/>
      <c r="M416" s="137"/>
      <c r="N416" s="137"/>
      <c r="O416" s="137"/>
      <c r="P416" s="13"/>
      <c r="Q416" s="7"/>
      <c r="R416" s="7"/>
      <c r="S416" s="7"/>
      <c r="T416" s="7"/>
      <c r="U416" s="7"/>
      <c r="V416" s="31"/>
      <c r="W416" s="8"/>
      <c r="X416" s="8"/>
      <c r="Y416" s="83"/>
      <c r="Z416" s="83"/>
      <c r="AA416" s="83"/>
      <c r="AB416" s="80"/>
      <c r="AC416" s="7"/>
    </row>
    <row r="417" spans="1:29" x14ac:dyDescent="0.2">
      <c r="A417" s="7"/>
      <c r="B417" s="7" t="str">
        <f t="shared" si="99"/>
        <v/>
      </c>
      <c r="C417" s="10"/>
      <c r="D417" s="31"/>
      <c r="E417" s="12"/>
      <c r="F417" s="12"/>
      <c r="G417" s="7"/>
      <c r="H417" s="7"/>
      <c r="I417" s="7"/>
      <c r="J417" s="7"/>
      <c r="K417" s="40"/>
      <c r="L417" s="137"/>
      <c r="M417" s="137"/>
      <c r="N417" s="137"/>
      <c r="O417" s="137"/>
      <c r="P417" s="13"/>
      <c r="Q417" s="7"/>
      <c r="R417" s="7"/>
      <c r="S417" s="7"/>
      <c r="T417" s="7"/>
      <c r="U417" s="7"/>
      <c r="V417" s="31"/>
      <c r="W417" s="8"/>
      <c r="X417" s="8"/>
      <c r="Y417" s="83"/>
      <c r="Z417" s="83"/>
      <c r="AA417" s="83"/>
      <c r="AB417" s="80"/>
      <c r="AC417" s="7"/>
    </row>
    <row r="418" spans="1:29" x14ac:dyDescent="0.2">
      <c r="A418" s="7"/>
      <c r="B418" s="7" t="str">
        <f t="shared" si="99"/>
        <v/>
      </c>
      <c r="C418" s="10"/>
      <c r="D418" s="31"/>
      <c r="E418" s="12"/>
      <c r="F418" s="12"/>
      <c r="G418" s="7"/>
      <c r="H418" s="7"/>
      <c r="I418" s="7"/>
      <c r="J418" s="7"/>
      <c r="K418" s="40"/>
      <c r="L418" s="137"/>
      <c r="M418" s="137"/>
      <c r="N418" s="137"/>
      <c r="O418" s="137"/>
      <c r="P418" s="13"/>
      <c r="Q418" s="7"/>
      <c r="R418" s="23"/>
      <c r="V418" s="31"/>
      <c r="W418" s="8"/>
      <c r="X418" s="8"/>
      <c r="Y418" s="83"/>
      <c r="Z418" s="83"/>
      <c r="AA418" s="83"/>
      <c r="AB418" s="80"/>
      <c r="AC418" s="7"/>
    </row>
    <row r="419" spans="1:29" x14ac:dyDescent="0.2">
      <c r="A419" s="7"/>
      <c r="B419" s="7" t="str">
        <f t="shared" si="99"/>
        <v/>
      </c>
      <c r="C419" s="10"/>
      <c r="D419" s="31"/>
      <c r="E419" s="12"/>
      <c r="F419" s="12"/>
      <c r="G419" s="7"/>
      <c r="H419" s="7"/>
      <c r="I419" s="7"/>
      <c r="J419" s="23"/>
      <c r="K419" s="40"/>
      <c r="L419" s="137"/>
      <c r="M419" s="137"/>
      <c r="N419" s="137"/>
      <c r="O419" s="137"/>
      <c r="P419" s="13"/>
      <c r="Q419" s="7"/>
      <c r="R419" s="7"/>
      <c r="S419" s="7"/>
      <c r="T419" s="7"/>
      <c r="U419" s="7"/>
      <c r="V419" s="31"/>
      <c r="W419" s="8"/>
      <c r="X419" s="8"/>
      <c r="Y419" s="83"/>
      <c r="Z419" s="83"/>
      <c r="AA419" s="83"/>
      <c r="AB419" s="80"/>
      <c r="AC419" s="7"/>
    </row>
    <row r="420" spans="1:29" x14ac:dyDescent="0.2">
      <c r="A420" s="7"/>
      <c r="B420" s="7" t="str">
        <f t="shared" si="99"/>
        <v/>
      </c>
      <c r="C420" s="10"/>
      <c r="D420" s="31"/>
      <c r="E420" s="12"/>
      <c r="F420" s="12"/>
      <c r="G420" s="7"/>
      <c r="H420" s="7"/>
      <c r="I420" s="7"/>
      <c r="J420" s="7"/>
      <c r="K420" s="40"/>
      <c r="L420" s="137"/>
      <c r="M420" s="137"/>
      <c r="N420" s="137"/>
      <c r="O420" s="137"/>
      <c r="P420" s="13"/>
      <c r="Q420" s="7"/>
      <c r="R420" s="23"/>
      <c r="V420" s="31"/>
      <c r="W420" s="8"/>
      <c r="X420" s="8"/>
      <c r="Y420" s="83"/>
      <c r="Z420" s="83"/>
      <c r="AA420" s="83"/>
      <c r="AB420" s="80"/>
      <c r="AC420" s="7"/>
    </row>
    <row r="421" spans="1:29" x14ac:dyDescent="0.2">
      <c r="A421" s="7"/>
      <c r="B421" s="7" t="str">
        <f t="shared" si="99"/>
        <v/>
      </c>
      <c r="C421" s="10"/>
      <c r="D421" s="31"/>
      <c r="E421" s="12"/>
      <c r="F421" s="12"/>
      <c r="G421" s="7"/>
      <c r="H421" s="7"/>
      <c r="I421" s="7"/>
      <c r="J421" s="7"/>
      <c r="K421" s="40"/>
      <c r="L421" s="137"/>
      <c r="M421" s="137"/>
      <c r="N421" s="137"/>
      <c r="O421" s="137"/>
      <c r="P421" s="13"/>
      <c r="Q421" s="7"/>
      <c r="R421" s="7"/>
      <c r="S421" s="7"/>
      <c r="T421" s="7"/>
      <c r="U421" s="7"/>
      <c r="V421" s="31"/>
      <c r="W421" s="8"/>
      <c r="X421" s="8"/>
      <c r="Y421" s="83"/>
      <c r="Z421" s="83"/>
      <c r="AA421" s="83"/>
      <c r="AB421" s="80"/>
      <c r="AC421" s="7"/>
    </row>
    <row r="422" spans="1:29" x14ac:dyDescent="0.2">
      <c r="A422" s="7"/>
      <c r="B422" s="7" t="str">
        <f t="shared" si="99"/>
        <v/>
      </c>
      <c r="C422" s="10"/>
      <c r="D422" s="31"/>
      <c r="E422" s="12"/>
      <c r="F422" s="12"/>
      <c r="G422" s="7"/>
      <c r="H422" s="7"/>
      <c r="I422" s="7"/>
      <c r="J422" s="7"/>
      <c r="K422" s="40"/>
      <c r="L422" s="137"/>
      <c r="M422" s="137"/>
      <c r="N422" s="137"/>
      <c r="O422" s="137"/>
      <c r="P422" s="13"/>
      <c r="Q422" s="7"/>
      <c r="R422" s="7"/>
      <c r="S422" s="7"/>
      <c r="T422" s="7"/>
      <c r="U422" s="7"/>
      <c r="V422" s="31"/>
      <c r="W422" s="8"/>
      <c r="X422" s="8"/>
      <c r="Y422" s="83"/>
      <c r="Z422" s="83"/>
      <c r="AA422" s="83"/>
      <c r="AB422" s="80"/>
      <c r="AC422" s="7"/>
    </row>
    <row r="423" spans="1:29" x14ac:dyDescent="0.2">
      <c r="A423" s="7"/>
      <c r="B423" s="7" t="str">
        <f t="shared" si="99"/>
        <v/>
      </c>
      <c r="C423" s="10"/>
      <c r="D423" s="31"/>
      <c r="E423" s="12"/>
      <c r="F423" s="12"/>
      <c r="G423" s="7"/>
      <c r="H423" s="7"/>
      <c r="I423" s="7"/>
      <c r="J423" s="7"/>
      <c r="K423" s="40"/>
      <c r="L423" s="137"/>
      <c r="M423" s="137"/>
      <c r="N423" s="137"/>
      <c r="O423" s="137"/>
      <c r="P423" s="13"/>
      <c r="Q423" s="7"/>
      <c r="R423" s="23"/>
      <c r="V423" s="31"/>
      <c r="W423" s="8"/>
      <c r="X423" s="8"/>
      <c r="Y423" s="83"/>
      <c r="Z423" s="83"/>
      <c r="AA423" s="83"/>
      <c r="AB423" s="80"/>
      <c r="AC423" s="7"/>
    </row>
    <row r="424" spans="1:29" x14ac:dyDescent="0.2">
      <c r="A424" s="7"/>
      <c r="B424" s="7" t="str">
        <f t="shared" si="99"/>
        <v/>
      </c>
      <c r="C424" s="10"/>
      <c r="D424" s="31"/>
      <c r="E424" s="12"/>
      <c r="F424" s="12"/>
      <c r="G424" s="7"/>
      <c r="H424" s="7"/>
      <c r="I424" s="7"/>
      <c r="J424" s="7"/>
      <c r="K424" s="40"/>
      <c r="L424" s="137"/>
      <c r="M424" s="137"/>
      <c r="N424" s="137"/>
      <c r="O424" s="137"/>
      <c r="P424" s="13"/>
      <c r="Q424" s="7"/>
      <c r="R424" s="7"/>
      <c r="S424" s="7"/>
      <c r="T424" s="7"/>
      <c r="U424" s="7"/>
      <c r="V424" s="31"/>
      <c r="W424" s="8"/>
      <c r="X424" s="8"/>
      <c r="Y424" s="83"/>
      <c r="Z424" s="83"/>
      <c r="AA424" s="83"/>
      <c r="AB424" s="80"/>
      <c r="AC424" s="7"/>
    </row>
    <row r="425" spans="1:29" x14ac:dyDescent="0.2">
      <c r="A425" s="7"/>
      <c r="B425" s="7" t="str">
        <f t="shared" si="99"/>
        <v/>
      </c>
      <c r="C425" s="10"/>
      <c r="D425" s="31"/>
      <c r="E425" s="12"/>
      <c r="F425" s="12"/>
      <c r="G425" s="7"/>
      <c r="H425" s="7"/>
      <c r="I425" s="7"/>
      <c r="J425" s="7"/>
      <c r="K425" s="40"/>
      <c r="L425" s="137"/>
      <c r="M425" s="137"/>
      <c r="N425" s="137"/>
      <c r="O425" s="137"/>
      <c r="P425" s="13"/>
      <c r="Q425" s="7"/>
      <c r="R425" s="23"/>
      <c r="V425" s="31"/>
      <c r="W425" s="8"/>
      <c r="X425" s="8"/>
      <c r="Y425" s="83"/>
      <c r="Z425" s="83"/>
      <c r="AA425" s="83"/>
      <c r="AB425" s="80"/>
      <c r="AC425" s="7"/>
    </row>
    <row r="426" spans="1:29" x14ac:dyDescent="0.2">
      <c r="A426" s="7"/>
      <c r="B426" s="7" t="str">
        <f t="shared" si="99"/>
        <v/>
      </c>
      <c r="C426" s="10"/>
      <c r="D426" s="31"/>
      <c r="E426" s="12"/>
      <c r="F426" s="12"/>
      <c r="G426" s="7"/>
      <c r="H426" s="7"/>
      <c r="I426" s="7"/>
      <c r="J426" s="7"/>
      <c r="K426" s="40"/>
      <c r="L426" s="137"/>
      <c r="M426" s="137"/>
      <c r="N426" s="137"/>
      <c r="O426" s="137"/>
      <c r="P426" s="13"/>
      <c r="Q426" s="7"/>
      <c r="R426" s="7"/>
      <c r="S426" s="7"/>
      <c r="T426" s="7"/>
      <c r="U426" s="7"/>
      <c r="V426" s="31"/>
      <c r="W426" s="8"/>
      <c r="X426" s="8"/>
      <c r="Y426" s="83"/>
      <c r="Z426" s="83"/>
      <c r="AA426" s="83"/>
      <c r="AB426" s="80"/>
      <c r="AC426" s="7"/>
    </row>
    <row r="427" spans="1:29" x14ac:dyDescent="0.2">
      <c r="A427" s="7"/>
      <c r="B427" s="7" t="str">
        <f t="shared" si="99"/>
        <v/>
      </c>
      <c r="C427" s="10"/>
      <c r="D427" s="31"/>
      <c r="E427" s="12"/>
      <c r="F427" s="12"/>
      <c r="G427" s="7"/>
      <c r="H427" s="7"/>
      <c r="I427" s="7"/>
      <c r="J427" s="7"/>
      <c r="K427" s="40"/>
      <c r="L427" s="137"/>
      <c r="M427" s="137"/>
      <c r="N427" s="137"/>
      <c r="O427" s="137"/>
      <c r="P427" s="13"/>
      <c r="Q427" s="7"/>
      <c r="R427" s="23"/>
      <c r="V427" s="31"/>
      <c r="W427" s="8"/>
      <c r="X427" s="8"/>
      <c r="Y427" s="83"/>
      <c r="Z427" s="83"/>
      <c r="AA427" s="83"/>
      <c r="AB427" s="80"/>
      <c r="AC427" s="7"/>
    </row>
    <row r="428" spans="1:29" x14ac:dyDescent="0.2">
      <c r="A428" s="7"/>
      <c r="B428" s="7" t="str">
        <f t="shared" si="99"/>
        <v/>
      </c>
      <c r="C428" s="10"/>
      <c r="D428" s="31"/>
      <c r="E428" s="12"/>
      <c r="F428" s="12"/>
      <c r="G428" s="7"/>
      <c r="H428" s="7"/>
      <c r="I428" s="7"/>
      <c r="J428" s="7"/>
      <c r="K428" s="40"/>
      <c r="L428" s="137"/>
      <c r="M428" s="137"/>
      <c r="N428" s="137"/>
      <c r="O428" s="137"/>
      <c r="P428" s="13"/>
      <c r="Q428" s="7"/>
      <c r="R428" s="23"/>
      <c r="V428" s="31"/>
      <c r="W428" s="8"/>
      <c r="X428" s="8"/>
      <c r="Y428" s="83"/>
      <c r="Z428" s="83"/>
      <c r="AA428" s="83"/>
      <c r="AB428" s="80"/>
      <c r="AC428" s="7"/>
    </row>
    <row r="429" spans="1:29" x14ac:dyDescent="0.2">
      <c r="A429" s="7"/>
      <c r="B429" s="7" t="str">
        <f t="shared" si="99"/>
        <v/>
      </c>
      <c r="C429" s="10"/>
      <c r="D429" s="31"/>
      <c r="E429" s="26"/>
      <c r="G429" s="7"/>
      <c r="H429" s="7"/>
      <c r="I429" s="7"/>
      <c r="J429" s="7"/>
      <c r="K429" s="40"/>
      <c r="L429" s="137"/>
      <c r="M429" s="137"/>
      <c r="N429" s="137"/>
      <c r="O429" s="137"/>
      <c r="P429" s="13"/>
      <c r="Q429" s="23"/>
      <c r="R429" s="23"/>
      <c r="V429" s="31"/>
      <c r="W429" s="8"/>
      <c r="X429" s="8"/>
      <c r="Y429" s="83"/>
      <c r="Z429" s="83"/>
      <c r="AA429" s="83"/>
      <c r="AB429" s="80"/>
      <c r="AC429" s="7"/>
    </row>
    <row r="430" spans="1:29" x14ac:dyDescent="0.2">
      <c r="A430" s="7"/>
      <c r="B430" s="7" t="str">
        <f t="shared" si="99"/>
        <v/>
      </c>
      <c r="C430" s="10"/>
      <c r="D430" s="31"/>
      <c r="E430" s="12"/>
      <c r="F430" s="12"/>
      <c r="G430" s="7"/>
      <c r="H430" s="7"/>
      <c r="I430" s="7"/>
      <c r="J430" s="7"/>
      <c r="K430" s="40"/>
      <c r="L430" s="137"/>
      <c r="M430" s="137"/>
      <c r="N430" s="137"/>
      <c r="O430" s="137"/>
      <c r="P430" s="13"/>
      <c r="Q430" s="23"/>
      <c r="R430" s="7"/>
      <c r="S430" s="7"/>
      <c r="T430" s="7"/>
      <c r="U430" s="7"/>
      <c r="V430" s="31"/>
      <c r="W430" s="8"/>
      <c r="X430" s="8"/>
      <c r="Y430" s="83"/>
      <c r="Z430" s="83"/>
      <c r="AA430" s="83"/>
      <c r="AB430" s="80"/>
      <c r="AC430" s="7"/>
    </row>
    <row r="431" spans="1:29" x14ac:dyDescent="0.2">
      <c r="A431" s="7"/>
      <c r="B431" s="7" t="str">
        <f t="shared" si="99"/>
        <v/>
      </c>
      <c r="C431" s="10"/>
      <c r="D431" s="31"/>
      <c r="E431" s="12"/>
      <c r="F431" s="12"/>
      <c r="G431" s="7"/>
      <c r="H431" s="7"/>
      <c r="I431" s="7"/>
      <c r="J431" s="7"/>
      <c r="K431" s="40"/>
      <c r="L431" s="137"/>
      <c r="M431" s="137"/>
      <c r="N431" s="137"/>
      <c r="O431" s="137"/>
      <c r="P431" s="13"/>
      <c r="Q431" s="23"/>
      <c r="R431" s="7"/>
      <c r="S431" s="7"/>
      <c r="T431" s="7"/>
      <c r="U431" s="7"/>
      <c r="V431" s="31"/>
      <c r="W431" s="8"/>
      <c r="X431" s="8"/>
      <c r="Y431" s="83"/>
      <c r="Z431" s="83"/>
      <c r="AA431" s="83"/>
      <c r="AB431" s="80"/>
      <c r="AC431" s="7"/>
    </row>
    <row r="432" spans="1:29" x14ac:dyDescent="0.2">
      <c r="A432" s="7"/>
      <c r="B432" s="7" t="str">
        <f t="shared" si="99"/>
        <v/>
      </c>
      <c r="C432" s="10"/>
      <c r="D432" s="31"/>
      <c r="E432" s="12"/>
      <c r="F432" s="12"/>
      <c r="G432" s="7"/>
      <c r="H432" s="7"/>
      <c r="I432" s="7"/>
      <c r="J432" s="7"/>
      <c r="K432" s="40"/>
      <c r="L432" s="137"/>
      <c r="M432" s="137"/>
      <c r="N432" s="137"/>
      <c r="O432" s="137"/>
      <c r="P432" s="13"/>
      <c r="Q432" s="23"/>
      <c r="R432" s="7"/>
      <c r="S432" s="7"/>
      <c r="T432" s="7"/>
      <c r="U432" s="7"/>
      <c r="V432" s="31"/>
      <c r="W432" s="8"/>
      <c r="X432" s="8"/>
      <c r="Y432" s="83"/>
      <c r="Z432" s="83"/>
      <c r="AA432" s="83"/>
      <c r="AB432" s="80"/>
      <c r="AC432" s="7"/>
    </row>
    <row r="433" spans="1:29" x14ac:dyDescent="0.2">
      <c r="A433" s="7"/>
      <c r="B433" s="7" t="str">
        <f t="shared" si="99"/>
        <v/>
      </c>
      <c r="C433" s="10"/>
      <c r="D433" s="31"/>
      <c r="E433" s="12"/>
      <c r="F433" s="12"/>
      <c r="G433" s="7"/>
      <c r="H433" s="7"/>
      <c r="I433" s="7"/>
      <c r="J433" s="7"/>
      <c r="K433" s="40"/>
      <c r="L433" s="137"/>
      <c r="M433" s="137"/>
      <c r="N433" s="137"/>
      <c r="O433" s="137"/>
      <c r="P433" s="13"/>
      <c r="Q433" s="7"/>
      <c r="R433" s="7"/>
      <c r="S433" s="7"/>
      <c r="T433" s="7"/>
      <c r="U433" s="7"/>
      <c r="V433" s="31"/>
      <c r="W433" s="8"/>
      <c r="X433" s="8"/>
      <c r="Y433" s="83"/>
      <c r="Z433" s="83"/>
      <c r="AA433" s="83"/>
      <c r="AB433" s="80"/>
      <c r="AC433" s="7"/>
    </row>
    <row r="434" spans="1:29" x14ac:dyDescent="0.2">
      <c r="A434" s="7"/>
      <c r="B434" s="7" t="str">
        <f t="shared" si="99"/>
        <v/>
      </c>
      <c r="C434" s="10"/>
      <c r="D434" s="31"/>
      <c r="E434" s="12"/>
      <c r="F434" s="12"/>
      <c r="G434" s="7"/>
      <c r="H434" s="7"/>
      <c r="I434" s="7"/>
      <c r="J434" s="7"/>
      <c r="K434" s="40"/>
      <c r="L434" s="137"/>
      <c r="M434" s="137"/>
      <c r="N434" s="137"/>
      <c r="O434" s="137"/>
      <c r="P434" s="13"/>
      <c r="Q434" s="7"/>
      <c r="R434" s="7"/>
      <c r="S434" s="7"/>
      <c r="T434" s="7"/>
      <c r="U434" s="7"/>
      <c r="V434" s="31"/>
      <c r="W434" s="8"/>
      <c r="X434" s="8"/>
      <c r="Y434" s="83"/>
      <c r="Z434" s="83"/>
      <c r="AA434" s="83"/>
      <c r="AB434" s="80"/>
      <c r="AC434" s="7"/>
    </row>
    <row r="435" spans="1:29" x14ac:dyDescent="0.2">
      <c r="A435" s="7"/>
      <c r="B435" s="7" t="str">
        <f t="shared" si="99"/>
        <v/>
      </c>
      <c r="C435" s="10"/>
      <c r="D435" s="31"/>
      <c r="E435" s="12"/>
      <c r="F435" s="12"/>
      <c r="G435" s="7"/>
      <c r="H435" s="7"/>
      <c r="I435" s="7"/>
      <c r="J435" s="7"/>
      <c r="K435" s="40"/>
      <c r="L435" s="137"/>
      <c r="M435" s="137"/>
      <c r="N435" s="137"/>
      <c r="O435" s="137"/>
      <c r="P435" s="13"/>
      <c r="Q435" s="7"/>
      <c r="R435" s="7"/>
      <c r="S435" s="7"/>
      <c r="T435" s="7"/>
      <c r="U435" s="7"/>
      <c r="V435" s="31"/>
      <c r="W435" s="8"/>
      <c r="X435" s="8"/>
      <c r="Y435" s="83"/>
      <c r="Z435" s="83"/>
      <c r="AA435" s="83"/>
      <c r="AB435" s="80"/>
      <c r="AC435" s="7"/>
    </row>
    <row r="436" spans="1:29" x14ac:dyDescent="0.2">
      <c r="A436" s="7"/>
      <c r="B436" s="7" t="str">
        <f t="shared" si="99"/>
        <v/>
      </c>
      <c r="C436" s="10"/>
      <c r="D436" s="31"/>
      <c r="E436" s="12"/>
      <c r="F436" s="12"/>
      <c r="G436" s="7"/>
      <c r="H436" s="7"/>
      <c r="I436" s="7"/>
      <c r="J436" s="7"/>
      <c r="K436" s="40"/>
      <c r="L436" s="137"/>
      <c r="M436" s="137"/>
      <c r="N436" s="137"/>
      <c r="O436" s="137"/>
      <c r="P436" s="13"/>
      <c r="Q436" s="7"/>
      <c r="R436" s="7"/>
      <c r="S436" s="7"/>
      <c r="T436" s="7"/>
      <c r="U436" s="7"/>
      <c r="V436" s="31"/>
      <c r="W436" s="8"/>
      <c r="X436" s="8"/>
      <c r="Y436" s="83"/>
      <c r="Z436" s="83"/>
      <c r="AA436" s="83"/>
      <c r="AB436" s="80"/>
      <c r="AC436" s="7"/>
    </row>
    <row r="437" spans="1:29" x14ac:dyDescent="0.2">
      <c r="A437" s="7"/>
      <c r="B437" s="7" t="str">
        <f t="shared" si="99"/>
        <v/>
      </c>
      <c r="C437" s="10"/>
      <c r="D437" s="31"/>
      <c r="E437" s="12"/>
      <c r="F437" s="12"/>
      <c r="G437" s="7"/>
      <c r="H437" s="7"/>
      <c r="I437" s="7"/>
      <c r="J437" s="7"/>
      <c r="K437" s="40"/>
      <c r="L437" s="137"/>
      <c r="M437" s="137"/>
      <c r="N437" s="137"/>
      <c r="O437" s="137"/>
      <c r="P437" s="13"/>
      <c r="Q437" s="7"/>
      <c r="R437" s="23"/>
      <c r="V437" s="31"/>
      <c r="W437" s="8"/>
      <c r="X437" s="8"/>
      <c r="Y437" s="83"/>
      <c r="Z437" s="83"/>
      <c r="AA437" s="83"/>
      <c r="AB437" s="80"/>
      <c r="AC437" s="7"/>
    </row>
    <row r="438" spans="1:29" x14ac:dyDescent="0.2">
      <c r="A438" s="7"/>
      <c r="B438" s="7" t="str">
        <f t="shared" si="99"/>
        <v/>
      </c>
      <c r="C438" s="10"/>
      <c r="D438" s="31"/>
      <c r="E438" s="12"/>
      <c r="F438" s="12"/>
      <c r="G438" s="7"/>
      <c r="H438" s="7"/>
      <c r="I438" s="7"/>
      <c r="J438" s="7"/>
      <c r="K438" s="40"/>
      <c r="L438" s="137"/>
      <c r="M438" s="137"/>
      <c r="N438" s="137"/>
      <c r="O438" s="137"/>
      <c r="P438" s="13"/>
      <c r="Q438" s="7"/>
      <c r="R438" s="7"/>
      <c r="S438" s="7"/>
      <c r="T438" s="7"/>
      <c r="U438" s="7"/>
      <c r="V438" s="31"/>
      <c r="W438" s="8"/>
      <c r="X438" s="8"/>
      <c r="Y438" s="83"/>
      <c r="Z438" s="83"/>
      <c r="AA438" s="83"/>
      <c r="AB438" s="80"/>
      <c r="AC438" s="7"/>
    </row>
    <row r="439" spans="1:29" x14ac:dyDescent="0.2">
      <c r="A439" s="7"/>
      <c r="B439" s="7" t="str">
        <f t="shared" si="99"/>
        <v/>
      </c>
      <c r="C439" s="10"/>
      <c r="D439" s="31"/>
      <c r="E439" s="12"/>
      <c r="F439" s="12"/>
      <c r="G439" s="7"/>
      <c r="H439" s="7"/>
      <c r="I439" s="7"/>
      <c r="J439" s="7"/>
      <c r="K439" s="40"/>
      <c r="L439" s="137"/>
      <c r="M439" s="137"/>
      <c r="N439" s="137"/>
      <c r="O439" s="137"/>
      <c r="P439" s="13"/>
      <c r="Q439" s="7"/>
      <c r="R439" s="7"/>
      <c r="S439" s="7"/>
      <c r="T439" s="7"/>
      <c r="U439" s="7"/>
      <c r="V439" s="31"/>
      <c r="W439" s="8"/>
      <c r="X439" s="8"/>
      <c r="Y439" s="83"/>
      <c r="Z439" s="83"/>
      <c r="AA439" s="83"/>
      <c r="AB439" s="80"/>
      <c r="AC439" s="7"/>
    </row>
    <row r="440" spans="1:29" x14ac:dyDescent="0.2">
      <c r="A440" s="7"/>
      <c r="B440" s="7"/>
      <c r="C440" s="10"/>
      <c r="D440" s="31"/>
      <c r="E440" s="12"/>
      <c r="F440" s="12"/>
      <c r="G440" s="7"/>
      <c r="H440" s="7"/>
      <c r="I440" s="7"/>
      <c r="J440" s="63"/>
      <c r="K440" s="35"/>
      <c r="L440" s="35"/>
      <c r="M440" s="63"/>
      <c r="N440" s="262"/>
      <c r="O440" s="37"/>
      <c r="P440" s="13"/>
      <c r="Q440" s="7"/>
      <c r="R440" s="7"/>
      <c r="S440" s="7"/>
      <c r="T440" s="7"/>
      <c r="U440" s="7"/>
      <c r="V440" s="31"/>
      <c r="W440" s="11"/>
      <c r="X440" s="11"/>
      <c r="Y440" s="84"/>
      <c r="Z440" s="84"/>
      <c r="AA440" s="84"/>
      <c r="AB440" s="82"/>
      <c r="AC440" s="7"/>
    </row>
    <row r="441" spans="1:29" x14ac:dyDescent="0.2">
      <c r="A441" s="7"/>
      <c r="B441" s="7"/>
      <c r="C441" s="10"/>
      <c r="D441" s="31"/>
      <c r="E441" s="12"/>
      <c r="F441" s="12"/>
      <c r="G441" s="7"/>
      <c r="H441" s="7"/>
      <c r="I441" s="7"/>
      <c r="J441" s="7"/>
      <c r="K441" s="35"/>
      <c r="L441" s="35"/>
      <c r="M441" s="35"/>
      <c r="N441" s="35"/>
      <c r="O441" s="35"/>
      <c r="P441" s="13"/>
      <c r="Q441" s="7"/>
      <c r="R441" s="7"/>
      <c r="S441" s="7"/>
      <c r="T441" s="7"/>
      <c r="U441" s="7"/>
      <c r="V441" s="31"/>
      <c r="W441" s="11"/>
      <c r="X441" s="11"/>
      <c r="Y441" s="84"/>
      <c r="Z441" s="84"/>
      <c r="AA441" s="84"/>
      <c r="AB441" s="82"/>
      <c r="AC441" s="7"/>
    </row>
    <row r="442" spans="1:29" x14ac:dyDescent="0.2">
      <c r="A442" s="7"/>
      <c r="B442" s="7"/>
      <c r="C442" s="10"/>
      <c r="D442" s="31"/>
      <c r="E442" s="12"/>
      <c r="F442" s="12"/>
      <c r="G442" s="7"/>
      <c r="H442" s="7"/>
      <c r="I442" s="7"/>
      <c r="J442" s="7"/>
      <c r="K442" s="35"/>
      <c r="L442" s="35"/>
      <c r="M442" s="35"/>
      <c r="N442" s="35"/>
      <c r="O442" s="35"/>
      <c r="P442" s="13"/>
      <c r="Q442" s="7"/>
      <c r="R442" s="7"/>
      <c r="S442" s="7"/>
      <c r="T442" s="7"/>
      <c r="U442" s="7"/>
      <c r="V442" s="31"/>
      <c r="W442" s="11"/>
      <c r="X442" s="11"/>
      <c r="Y442" s="84"/>
      <c r="Z442" s="84"/>
      <c r="AA442" s="84"/>
      <c r="AB442" s="82"/>
      <c r="AC442" s="7"/>
    </row>
    <row r="443" spans="1:29" x14ac:dyDescent="0.2">
      <c r="A443" s="7"/>
      <c r="B443" s="7"/>
      <c r="C443" s="10"/>
      <c r="D443" s="31"/>
      <c r="E443" s="12"/>
      <c r="F443" s="12"/>
      <c r="G443" s="7"/>
      <c r="H443" s="7"/>
      <c r="I443" s="7"/>
      <c r="J443" s="7"/>
      <c r="K443" s="35"/>
      <c r="L443" s="35"/>
      <c r="M443" s="35"/>
      <c r="N443" s="35"/>
      <c r="O443" s="35"/>
      <c r="P443" s="13"/>
      <c r="Q443" s="7"/>
      <c r="R443" s="7"/>
      <c r="S443" s="7"/>
      <c r="T443" s="7"/>
      <c r="U443" s="7"/>
      <c r="V443" s="31"/>
      <c r="W443" s="11"/>
      <c r="X443" s="11"/>
      <c r="Y443" s="84"/>
      <c r="Z443" s="84"/>
      <c r="AA443" s="84"/>
      <c r="AB443" s="82"/>
      <c r="AC443" s="7"/>
    </row>
    <row r="444" spans="1:29" x14ac:dyDescent="0.2">
      <c r="A444" s="7"/>
      <c r="B444" s="7"/>
      <c r="C444" s="10"/>
      <c r="D444" s="31"/>
      <c r="E444" s="12"/>
      <c r="F444" s="12"/>
      <c r="G444" s="7"/>
      <c r="H444" s="7"/>
      <c r="I444" s="7"/>
      <c r="J444" s="7"/>
      <c r="K444" s="35"/>
      <c r="L444" s="35"/>
      <c r="M444" s="35"/>
      <c r="N444" s="35"/>
      <c r="O444" s="35"/>
      <c r="P444" s="13"/>
      <c r="Q444" s="7"/>
      <c r="R444" s="7"/>
      <c r="S444" s="7"/>
      <c r="T444" s="7"/>
      <c r="U444" s="7"/>
      <c r="V444" s="31"/>
      <c r="W444" s="11"/>
      <c r="X444" s="11"/>
      <c r="Y444" s="84"/>
      <c r="Z444" s="84"/>
      <c r="AA444" s="84"/>
      <c r="AB444" s="82"/>
      <c r="AC444" s="7"/>
    </row>
    <row r="445" spans="1:29" x14ac:dyDescent="0.2">
      <c r="A445" s="7"/>
      <c r="B445" s="7"/>
      <c r="C445" s="10"/>
      <c r="D445" s="31"/>
      <c r="E445" s="12"/>
      <c r="F445" s="12"/>
      <c r="G445" s="7"/>
      <c r="H445" s="7"/>
      <c r="I445" s="7"/>
      <c r="J445" s="7"/>
      <c r="K445" s="35"/>
      <c r="L445" s="35"/>
      <c r="M445" s="35"/>
      <c r="N445" s="35"/>
      <c r="O445" s="35"/>
      <c r="P445" s="13"/>
      <c r="Q445" s="7"/>
      <c r="R445" s="7"/>
      <c r="S445" s="7"/>
      <c r="T445" s="7"/>
      <c r="U445" s="7"/>
      <c r="V445" s="31"/>
      <c r="W445" s="11"/>
      <c r="X445" s="11"/>
      <c r="Y445" s="84"/>
      <c r="Z445" s="84"/>
      <c r="AA445" s="84"/>
      <c r="AB445" s="82"/>
      <c r="AC445" s="7"/>
    </row>
    <row r="446" spans="1:29" x14ac:dyDescent="0.2">
      <c r="A446" s="7"/>
      <c r="B446" s="7"/>
      <c r="C446" s="10"/>
      <c r="D446" s="31"/>
      <c r="E446" s="12"/>
      <c r="F446" s="12"/>
      <c r="G446" s="7"/>
      <c r="H446" s="7"/>
      <c r="I446" s="7"/>
      <c r="J446" s="7"/>
      <c r="K446" s="35"/>
      <c r="L446" s="35"/>
      <c r="M446" s="35"/>
      <c r="N446" s="35"/>
      <c r="O446" s="35"/>
      <c r="P446" s="13"/>
      <c r="Q446" s="7"/>
      <c r="R446" s="7"/>
      <c r="S446" s="7"/>
      <c r="T446" s="7"/>
      <c r="U446" s="7"/>
      <c r="V446" s="31"/>
      <c r="W446" s="11"/>
      <c r="X446" s="11"/>
      <c r="Y446" s="84"/>
      <c r="Z446" s="84"/>
      <c r="AA446" s="84"/>
      <c r="AB446" s="82"/>
      <c r="AC446" s="7"/>
    </row>
    <row r="447" spans="1:29" x14ac:dyDescent="0.2">
      <c r="A447" s="7"/>
      <c r="B447" s="7"/>
      <c r="C447" s="10"/>
      <c r="D447" s="31"/>
      <c r="E447" s="12"/>
      <c r="F447" s="12"/>
      <c r="G447" s="7"/>
      <c r="H447" s="7"/>
      <c r="I447" s="7"/>
      <c r="J447" s="7"/>
      <c r="K447" s="35"/>
      <c r="L447" s="35"/>
      <c r="M447" s="35"/>
      <c r="N447" s="35"/>
      <c r="O447" s="35"/>
      <c r="P447" s="13"/>
      <c r="Q447" s="7"/>
      <c r="R447" s="7"/>
      <c r="S447" s="7"/>
      <c r="T447" s="7"/>
      <c r="U447" s="7"/>
      <c r="V447" s="31"/>
      <c r="W447" s="11"/>
      <c r="X447" s="11"/>
      <c r="Y447" s="84"/>
      <c r="Z447" s="84"/>
      <c r="AA447" s="84"/>
      <c r="AB447" s="82"/>
      <c r="AC447" s="7"/>
    </row>
    <row r="448" spans="1:29" x14ac:dyDescent="0.2">
      <c r="A448" s="7"/>
      <c r="B448" s="7"/>
      <c r="C448" s="10"/>
      <c r="D448" s="31"/>
      <c r="E448" s="12"/>
      <c r="F448" s="12"/>
      <c r="G448" s="7"/>
      <c r="H448" s="7"/>
      <c r="I448" s="7"/>
      <c r="J448" s="7"/>
      <c r="K448" s="35"/>
      <c r="L448" s="35"/>
      <c r="M448" s="35"/>
      <c r="N448" s="35"/>
      <c r="O448" s="35"/>
      <c r="P448" s="13"/>
      <c r="Q448" s="7"/>
      <c r="R448" s="7"/>
      <c r="S448" s="7"/>
      <c r="T448" s="7"/>
      <c r="U448" s="7"/>
      <c r="V448" s="31"/>
      <c r="W448" s="11"/>
      <c r="X448" s="11"/>
      <c r="Y448" s="84"/>
      <c r="Z448" s="84"/>
      <c r="AA448" s="84"/>
      <c r="AB448" s="82"/>
      <c r="AC448" s="7"/>
    </row>
    <row r="449" spans="1:29" x14ac:dyDescent="0.2">
      <c r="A449" s="7"/>
      <c r="B449" s="7"/>
      <c r="C449" s="10"/>
      <c r="D449" s="31"/>
      <c r="E449" s="12"/>
      <c r="F449" s="12"/>
      <c r="G449" s="7"/>
      <c r="H449" s="7"/>
      <c r="I449" s="7"/>
      <c r="J449" s="7"/>
      <c r="K449" s="35"/>
      <c r="L449" s="35"/>
      <c r="M449" s="35"/>
      <c r="N449" s="35"/>
      <c r="O449" s="35"/>
      <c r="P449" s="13"/>
      <c r="Q449" s="7"/>
      <c r="R449" s="7"/>
      <c r="S449" s="7"/>
      <c r="T449" s="7"/>
      <c r="U449" s="7"/>
      <c r="V449" s="31"/>
      <c r="W449" s="11"/>
      <c r="X449" s="11"/>
      <c r="Y449" s="84"/>
      <c r="Z449" s="84"/>
      <c r="AA449" s="84"/>
      <c r="AB449" s="82"/>
      <c r="AC449" s="7"/>
    </row>
    <row r="450" spans="1:29" x14ac:dyDescent="0.2">
      <c r="A450" s="7"/>
      <c r="B450" s="7"/>
      <c r="C450" s="10"/>
      <c r="D450" s="31"/>
      <c r="E450" s="12"/>
      <c r="F450" s="12"/>
      <c r="G450" s="7"/>
      <c r="H450" s="7"/>
      <c r="I450" s="7"/>
      <c r="J450" s="7"/>
      <c r="K450" s="35"/>
      <c r="L450" s="35"/>
      <c r="M450" s="35"/>
      <c r="N450" s="35"/>
      <c r="O450" s="35"/>
      <c r="P450" s="13"/>
      <c r="Q450" s="7"/>
      <c r="R450" s="7"/>
      <c r="S450" s="7"/>
      <c r="T450" s="7"/>
      <c r="U450" s="7"/>
      <c r="V450" s="31"/>
      <c r="W450" s="11"/>
      <c r="X450" s="11"/>
      <c r="Y450" s="84"/>
      <c r="Z450" s="84"/>
      <c r="AA450" s="84"/>
      <c r="AB450" s="82"/>
      <c r="AC450" s="7"/>
    </row>
    <row r="451" spans="1:29" x14ac:dyDescent="0.2">
      <c r="A451" s="7"/>
      <c r="B451" s="7"/>
      <c r="C451" s="10"/>
      <c r="D451" s="31"/>
      <c r="E451" s="12"/>
      <c r="F451" s="12"/>
      <c r="G451" s="7"/>
      <c r="H451" s="7"/>
      <c r="I451" s="7"/>
      <c r="J451" s="7"/>
      <c r="K451" s="35"/>
      <c r="L451" s="35"/>
      <c r="M451" s="35"/>
      <c r="N451" s="35"/>
      <c r="O451" s="35"/>
      <c r="P451" s="13"/>
      <c r="Q451" s="7"/>
      <c r="R451" s="7"/>
      <c r="S451" s="7"/>
      <c r="T451" s="7"/>
      <c r="U451" s="7"/>
      <c r="V451" s="31"/>
      <c r="W451" s="11"/>
      <c r="X451" s="11"/>
      <c r="Y451" s="84"/>
      <c r="Z451" s="84"/>
      <c r="AA451" s="84"/>
      <c r="AB451" s="82"/>
      <c r="AC451" s="7"/>
    </row>
    <row r="452" spans="1:29" x14ac:dyDescent="0.2">
      <c r="A452" s="7"/>
      <c r="B452" s="7"/>
      <c r="C452" s="10"/>
      <c r="D452" s="31"/>
      <c r="E452" s="12"/>
      <c r="F452" s="12"/>
      <c r="G452" s="7"/>
      <c r="H452" s="7"/>
      <c r="I452" s="7"/>
      <c r="J452" s="7"/>
      <c r="K452" s="35"/>
      <c r="L452" s="35"/>
      <c r="M452" s="35"/>
      <c r="N452" s="35"/>
      <c r="O452" s="35"/>
      <c r="P452" s="13"/>
      <c r="Q452" s="7"/>
      <c r="R452" s="7"/>
      <c r="S452" s="7"/>
      <c r="T452" s="7"/>
      <c r="U452" s="7"/>
      <c r="V452" s="31"/>
      <c r="W452" s="11"/>
      <c r="X452" s="11"/>
      <c r="Y452" s="84"/>
      <c r="Z452" s="84"/>
      <c r="AA452" s="84"/>
      <c r="AB452" s="82"/>
      <c r="AC452" s="7"/>
    </row>
    <row r="453" spans="1:29" x14ac:dyDescent="0.2">
      <c r="A453" s="7"/>
      <c r="B453" s="7"/>
      <c r="C453" s="10"/>
      <c r="D453" s="31"/>
      <c r="E453" s="12"/>
      <c r="F453" s="12"/>
      <c r="G453" s="7"/>
      <c r="H453" s="7"/>
      <c r="I453" s="7"/>
      <c r="J453" s="7"/>
      <c r="K453" s="35"/>
      <c r="L453" s="35"/>
      <c r="M453" s="35"/>
      <c r="N453" s="35"/>
      <c r="O453" s="35"/>
      <c r="P453" s="13"/>
      <c r="Q453" s="7"/>
      <c r="R453" s="7"/>
      <c r="S453" s="7"/>
      <c r="T453" s="7"/>
      <c r="U453" s="7"/>
      <c r="V453" s="31"/>
      <c r="W453" s="11"/>
      <c r="X453" s="11"/>
      <c r="Y453" s="84"/>
      <c r="Z453" s="84"/>
      <c r="AA453" s="84"/>
      <c r="AB453" s="82"/>
      <c r="AC453" s="7"/>
    </row>
    <row r="454" spans="1:29" x14ac:dyDescent="0.2">
      <c r="A454" s="7"/>
      <c r="B454" s="7"/>
      <c r="C454" s="10"/>
      <c r="D454" s="31"/>
      <c r="E454" s="12"/>
      <c r="F454" s="12"/>
      <c r="G454" s="7"/>
      <c r="H454" s="7"/>
      <c r="I454" s="7"/>
      <c r="J454" s="7"/>
      <c r="K454" s="35"/>
      <c r="L454" s="35"/>
      <c r="M454" s="35"/>
      <c r="N454" s="35"/>
      <c r="O454" s="35"/>
      <c r="P454" s="13"/>
      <c r="Q454" s="7"/>
      <c r="R454" s="7"/>
      <c r="S454" s="7"/>
      <c r="T454" s="7"/>
      <c r="U454" s="7"/>
      <c r="V454" s="31"/>
      <c r="W454" s="11"/>
      <c r="X454" s="11"/>
      <c r="Y454" s="84"/>
      <c r="Z454" s="84"/>
      <c r="AA454" s="84"/>
      <c r="AB454" s="82"/>
      <c r="AC454" s="7"/>
    </row>
    <row r="455" spans="1:29" x14ac:dyDescent="0.2">
      <c r="A455" s="7"/>
      <c r="B455" s="7"/>
      <c r="C455" s="10"/>
      <c r="D455" s="31"/>
      <c r="E455" s="12"/>
      <c r="F455" s="12"/>
      <c r="G455" s="7"/>
      <c r="H455" s="7"/>
      <c r="I455" s="7"/>
      <c r="J455" s="7"/>
      <c r="K455" s="35"/>
      <c r="L455" s="35"/>
      <c r="M455" s="35"/>
      <c r="N455" s="35"/>
      <c r="O455" s="35"/>
      <c r="P455" s="13"/>
      <c r="Q455" s="7"/>
      <c r="R455" s="7"/>
      <c r="S455" s="7"/>
      <c r="T455" s="7"/>
      <c r="U455" s="7"/>
      <c r="V455" s="31"/>
      <c r="W455" s="11"/>
      <c r="X455" s="11"/>
      <c r="Y455" s="84"/>
      <c r="Z455" s="84"/>
      <c r="AA455" s="84"/>
      <c r="AB455" s="82"/>
      <c r="AC455" s="7"/>
    </row>
    <row r="456" spans="1:29" x14ac:dyDescent="0.2">
      <c r="A456" s="7"/>
      <c r="B456" s="7"/>
      <c r="C456" s="10"/>
      <c r="D456" s="31"/>
      <c r="E456" s="12"/>
      <c r="F456" s="12"/>
      <c r="G456" s="7"/>
      <c r="H456" s="7"/>
      <c r="I456" s="7"/>
      <c r="J456" s="7"/>
      <c r="K456" s="35"/>
      <c r="L456" s="35"/>
      <c r="M456" s="35"/>
      <c r="N456" s="35"/>
      <c r="O456" s="35"/>
      <c r="P456" s="13"/>
      <c r="Q456" s="7"/>
      <c r="R456" s="7"/>
      <c r="S456" s="7"/>
      <c r="T456" s="7"/>
      <c r="U456" s="7"/>
      <c r="V456" s="31"/>
      <c r="W456" s="11"/>
      <c r="X456" s="11"/>
      <c r="Y456" s="84"/>
      <c r="Z456" s="84"/>
      <c r="AA456" s="84"/>
      <c r="AB456" s="82"/>
      <c r="AC456" s="7"/>
    </row>
    <row r="457" spans="1:29" x14ac:dyDescent="0.2">
      <c r="A457" s="7"/>
      <c r="B457" s="7"/>
      <c r="C457" s="10"/>
      <c r="D457" s="31"/>
      <c r="E457" s="12"/>
      <c r="F457" s="12"/>
      <c r="G457" s="7"/>
      <c r="H457" s="7"/>
      <c r="I457" s="7"/>
      <c r="J457" s="7"/>
      <c r="K457" s="35"/>
      <c r="L457" s="35"/>
      <c r="M457" s="35"/>
      <c r="N457" s="35"/>
      <c r="O457" s="35"/>
      <c r="P457" s="13"/>
      <c r="Q457" s="7"/>
      <c r="R457" s="7"/>
      <c r="S457" s="7"/>
      <c r="T457" s="7"/>
      <c r="U457" s="7"/>
      <c r="V457" s="31"/>
      <c r="W457" s="11"/>
      <c r="X457" s="11"/>
      <c r="Y457" s="84"/>
      <c r="Z457" s="84"/>
      <c r="AA457" s="84"/>
      <c r="AB457" s="82"/>
      <c r="AC457" s="7"/>
    </row>
    <row r="458" spans="1:29" x14ac:dyDescent="0.2">
      <c r="A458" s="7"/>
      <c r="B458" s="7"/>
      <c r="C458" s="10"/>
      <c r="D458" s="31"/>
      <c r="E458" s="12"/>
      <c r="F458" s="12"/>
      <c r="G458" s="7"/>
      <c r="H458" s="7"/>
      <c r="I458" s="7"/>
      <c r="J458" s="7"/>
      <c r="K458" s="35"/>
      <c r="L458" s="35"/>
      <c r="M458" s="35"/>
      <c r="N458" s="35"/>
      <c r="O458" s="35"/>
      <c r="P458" s="13"/>
      <c r="Q458" s="7"/>
      <c r="R458" s="7"/>
      <c r="S458" s="7"/>
      <c r="T458" s="7"/>
      <c r="U458" s="7"/>
      <c r="V458" s="31"/>
      <c r="W458" s="11"/>
      <c r="X458" s="11"/>
      <c r="Y458" s="84"/>
      <c r="Z458" s="84"/>
      <c r="AA458" s="84"/>
      <c r="AB458" s="82"/>
      <c r="AC458" s="7"/>
    </row>
    <row r="459" spans="1:29" x14ac:dyDescent="0.2">
      <c r="A459" s="7"/>
      <c r="B459" s="7"/>
      <c r="C459" s="10"/>
      <c r="D459" s="31"/>
      <c r="E459" s="12"/>
      <c r="F459" s="12"/>
      <c r="G459" s="7"/>
      <c r="H459" s="7"/>
      <c r="I459" s="7"/>
      <c r="J459" s="7"/>
      <c r="K459" s="35"/>
      <c r="L459" s="35"/>
      <c r="M459" s="35"/>
      <c r="N459" s="35"/>
      <c r="O459" s="35"/>
      <c r="P459" s="13"/>
      <c r="Q459" s="7"/>
      <c r="R459" s="7"/>
      <c r="S459" s="7"/>
      <c r="T459" s="7"/>
      <c r="U459" s="7"/>
      <c r="V459" s="31"/>
      <c r="W459" s="11"/>
      <c r="X459" s="11"/>
      <c r="Y459" s="84"/>
      <c r="Z459" s="84"/>
      <c r="AA459" s="84"/>
      <c r="AB459" s="82"/>
      <c r="AC459" s="7"/>
    </row>
    <row r="460" spans="1:29" x14ac:dyDescent="0.2">
      <c r="A460" s="7"/>
      <c r="B460" s="7"/>
      <c r="C460" s="10"/>
      <c r="D460" s="31"/>
      <c r="E460" s="12"/>
      <c r="F460" s="12"/>
      <c r="G460" s="7"/>
      <c r="H460" s="7"/>
      <c r="I460" s="7"/>
      <c r="J460" s="7"/>
      <c r="K460" s="35"/>
      <c r="L460" s="35"/>
      <c r="M460" s="35"/>
      <c r="N460" s="35"/>
      <c r="O460" s="35"/>
      <c r="P460" s="13"/>
      <c r="Q460" s="7"/>
      <c r="R460" s="7"/>
      <c r="S460" s="7"/>
      <c r="T460" s="7"/>
      <c r="U460" s="7"/>
      <c r="V460" s="31"/>
      <c r="W460" s="11"/>
      <c r="X460" s="11"/>
      <c r="Y460" s="84"/>
      <c r="Z460" s="84"/>
      <c r="AA460" s="84"/>
      <c r="AB460" s="82"/>
      <c r="AC460" s="7"/>
    </row>
    <row r="461" spans="1:29" x14ac:dyDescent="0.2">
      <c r="A461" s="7"/>
      <c r="B461" s="7"/>
      <c r="C461" s="10"/>
      <c r="D461" s="31"/>
      <c r="E461" s="12"/>
      <c r="F461" s="12"/>
      <c r="G461" s="7"/>
      <c r="H461" s="7"/>
      <c r="I461" s="7"/>
      <c r="J461" s="7"/>
      <c r="K461" s="35"/>
      <c r="L461" s="35"/>
      <c r="M461" s="35"/>
      <c r="N461" s="35"/>
      <c r="O461" s="35"/>
      <c r="P461" s="13"/>
      <c r="Q461" s="7"/>
      <c r="R461" s="7"/>
      <c r="S461" s="7"/>
      <c r="T461" s="7"/>
      <c r="U461" s="7"/>
      <c r="V461" s="31"/>
      <c r="W461" s="11"/>
      <c r="X461" s="11"/>
      <c r="Y461" s="84"/>
      <c r="Z461" s="84"/>
      <c r="AA461" s="84"/>
      <c r="AB461" s="82"/>
      <c r="AC461" s="7"/>
    </row>
    <row r="462" spans="1:29" x14ac:dyDescent="0.2">
      <c r="A462" s="7"/>
      <c r="B462" s="7"/>
      <c r="C462" s="10"/>
      <c r="D462" s="31"/>
      <c r="E462" s="12"/>
      <c r="F462" s="12"/>
      <c r="G462" s="7"/>
      <c r="H462" s="7"/>
      <c r="I462" s="7"/>
      <c r="J462" s="7"/>
      <c r="K462" s="35"/>
      <c r="L462" s="35"/>
      <c r="M462" s="35"/>
      <c r="N462" s="35"/>
      <c r="O462" s="35"/>
      <c r="P462" s="13"/>
      <c r="Q462" s="7"/>
      <c r="R462" s="7"/>
      <c r="S462" s="7"/>
      <c r="T462" s="7"/>
      <c r="U462" s="7"/>
      <c r="V462" s="31"/>
      <c r="W462" s="11"/>
      <c r="X462" s="11"/>
      <c r="Y462" s="84"/>
      <c r="Z462" s="84"/>
      <c r="AA462" s="84"/>
      <c r="AB462" s="82"/>
      <c r="AC462" s="7"/>
    </row>
    <row r="463" spans="1:29" x14ac:dyDescent="0.2">
      <c r="A463" s="7"/>
      <c r="B463" s="7"/>
      <c r="C463" s="10"/>
      <c r="D463" s="31"/>
      <c r="E463" s="12"/>
      <c r="F463" s="12"/>
      <c r="G463" s="7"/>
      <c r="H463" s="7"/>
      <c r="I463" s="7"/>
      <c r="J463" s="7"/>
      <c r="K463" s="35"/>
      <c r="L463" s="35"/>
      <c r="M463" s="35"/>
      <c r="N463" s="35"/>
      <c r="O463" s="35"/>
      <c r="P463" s="13"/>
      <c r="Q463" s="7"/>
      <c r="R463" s="7"/>
      <c r="S463" s="7"/>
      <c r="T463" s="7"/>
      <c r="U463" s="7"/>
      <c r="V463" s="31"/>
      <c r="W463" s="11"/>
      <c r="X463" s="11"/>
      <c r="Y463" s="84"/>
      <c r="Z463" s="84"/>
      <c r="AA463" s="84"/>
      <c r="AB463" s="82"/>
      <c r="AC463" s="7"/>
    </row>
    <row r="464" spans="1:29" x14ac:dyDescent="0.2">
      <c r="A464" s="7"/>
      <c r="B464" s="7"/>
      <c r="C464" s="10"/>
      <c r="D464" s="31"/>
      <c r="E464" s="12"/>
      <c r="F464" s="12"/>
      <c r="G464" s="7"/>
      <c r="H464" s="7"/>
      <c r="I464" s="7"/>
      <c r="J464" s="7"/>
      <c r="K464" s="35"/>
      <c r="L464" s="35"/>
      <c r="M464" s="35"/>
      <c r="N464" s="35"/>
      <c r="O464" s="35"/>
      <c r="P464" s="13"/>
      <c r="Q464" s="7"/>
      <c r="R464" s="7"/>
      <c r="S464" s="7"/>
      <c r="T464" s="7"/>
      <c r="U464" s="7"/>
      <c r="V464" s="31"/>
      <c r="W464" s="11"/>
      <c r="X464" s="11"/>
      <c r="Y464" s="84"/>
      <c r="Z464" s="84"/>
      <c r="AA464" s="84"/>
      <c r="AB464" s="82"/>
      <c r="AC464" s="7"/>
    </row>
    <row r="465" spans="1:29" x14ac:dyDescent="0.2">
      <c r="A465" s="7"/>
      <c r="B465" s="7"/>
      <c r="C465" s="10"/>
      <c r="D465" s="31"/>
      <c r="E465" s="12"/>
      <c r="F465" s="12"/>
      <c r="G465" s="7"/>
      <c r="H465" s="7"/>
      <c r="I465" s="7"/>
      <c r="J465" s="7"/>
      <c r="K465" s="35"/>
      <c r="L465" s="35"/>
      <c r="M465" s="35"/>
      <c r="N465" s="35"/>
      <c r="O465" s="35"/>
      <c r="P465" s="13"/>
      <c r="Q465" s="7"/>
      <c r="R465" s="7"/>
      <c r="S465" s="7"/>
      <c r="T465" s="7"/>
      <c r="U465" s="7"/>
      <c r="V465" s="31"/>
      <c r="W465" s="11"/>
      <c r="X465" s="11"/>
      <c r="Y465" s="84"/>
      <c r="Z465" s="84"/>
      <c r="AA465" s="84"/>
      <c r="AB465" s="82"/>
      <c r="AC465" s="7"/>
    </row>
    <row r="466" spans="1:29" x14ac:dyDescent="0.2">
      <c r="A466" s="7"/>
      <c r="B466" s="7"/>
      <c r="C466" s="10"/>
      <c r="D466" s="31"/>
      <c r="E466" s="12"/>
      <c r="F466" s="12"/>
      <c r="G466" s="7"/>
      <c r="H466" s="7"/>
      <c r="I466" s="7"/>
      <c r="J466" s="7"/>
      <c r="K466" s="35"/>
      <c r="L466" s="35"/>
      <c r="M466" s="35"/>
      <c r="N466" s="35"/>
      <c r="O466" s="35"/>
      <c r="P466" s="13"/>
      <c r="Q466" s="7"/>
      <c r="R466" s="7"/>
      <c r="S466" s="7"/>
      <c r="T466" s="7"/>
      <c r="U466" s="7"/>
      <c r="V466" s="31"/>
      <c r="W466" s="11"/>
      <c r="X466" s="11"/>
      <c r="Y466" s="84"/>
      <c r="Z466" s="84"/>
      <c r="AA466" s="84"/>
      <c r="AB466" s="82"/>
      <c r="AC466" s="7"/>
    </row>
    <row r="467" spans="1:29" x14ac:dyDescent="0.2">
      <c r="A467" s="7"/>
      <c r="B467" s="7"/>
      <c r="C467" s="10"/>
      <c r="D467" s="31"/>
      <c r="E467" s="12"/>
      <c r="F467" s="12"/>
      <c r="G467" s="7"/>
      <c r="H467" s="7"/>
      <c r="I467" s="7"/>
      <c r="J467" s="7"/>
      <c r="K467" s="35"/>
      <c r="L467" s="35"/>
      <c r="M467" s="35"/>
      <c r="N467" s="35"/>
      <c r="O467" s="35"/>
      <c r="P467" s="13"/>
      <c r="Q467" s="7"/>
      <c r="R467" s="7"/>
      <c r="S467" s="7"/>
      <c r="T467" s="7"/>
      <c r="U467" s="7"/>
      <c r="V467" s="31"/>
      <c r="W467" s="11"/>
      <c r="X467" s="11"/>
      <c r="Y467" s="84"/>
      <c r="Z467" s="84"/>
      <c r="AA467" s="84"/>
      <c r="AB467" s="82"/>
      <c r="AC467" s="7"/>
    </row>
    <row r="468" spans="1:29" x14ac:dyDescent="0.2">
      <c r="A468" s="7"/>
      <c r="B468" s="7"/>
      <c r="C468" s="10"/>
      <c r="D468" s="31"/>
      <c r="E468" s="12"/>
      <c r="F468" s="12"/>
      <c r="G468" s="7"/>
      <c r="H468" s="7"/>
      <c r="I468" s="7"/>
      <c r="J468" s="7"/>
      <c r="K468" s="35"/>
      <c r="L468" s="35"/>
      <c r="M468" s="35"/>
      <c r="N468" s="35"/>
      <c r="O468" s="35"/>
      <c r="P468" s="13"/>
      <c r="Q468" s="7"/>
      <c r="R468" s="7"/>
      <c r="S468" s="7"/>
      <c r="T468" s="7"/>
      <c r="U468" s="7"/>
      <c r="V468" s="31"/>
      <c r="W468" s="11"/>
      <c r="X468" s="11"/>
      <c r="Y468" s="84"/>
      <c r="Z468" s="84"/>
      <c r="AA468" s="84"/>
      <c r="AB468" s="82"/>
      <c r="AC468" s="7"/>
    </row>
    <row r="469" spans="1:29" x14ac:dyDescent="0.2">
      <c r="A469" s="7"/>
      <c r="B469" s="7"/>
      <c r="C469" s="10"/>
      <c r="D469" s="31"/>
      <c r="E469" s="12"/>
      <c r="F469" s="12"/>
      <c r="G469" s="7"/>
      <c r="H469" s="7"/>
      <c r="I469" s="7"/>
      <c r="J469" s="7"/>
      <c r="K469" s="35"/>
      <c r="L469" s="35"/>
      <c r="M469" s="35"/>
      <c r="N469" s="35"/>
      <c r="O469" s="35"/>
      <c r="P469" s="13"/>
      <c r="Q469" s="7"/>
      <c r="R469" s="7"/>
      <c r="S469" s="7"/>
      <c r="T469" s="7"/>
      <c r="U469" s="7"/>
      <c r="V469" s="31"/>
      <c r="W469" s="11"/>
      <c r="X469" s="11"/>
      <c r="Y469" s="84"/>
      <c r="Z469" s="84"/>
      <c r="AA469" s="84"/>
      <c r="AB469" s="82"/>
      <c r="AC469" s="7"/>
    </row>
    <row r="470" spans="1:29" x14ac:dyDescent="0.2">
      <c r="A470" s="7"/>
      <c r="B470" s="7"/>
      <c r="C470" s="10"/>
      <c r="D470" s="31"/>
      <c r="E470" s="12"/>
      <c r="F470" s="12"/>
      <c r="G470" s="7"/>
      <c r="H470" s="7"/>
      <c r="I470" s="7"/>
      <c r="J470" s="7"/>
      <c r="K470" s="35"/>
      <c r="L470" s="35"/>
      <c r="M470" s="35"/>
      <c r="N470" s="35"/>
      <c r="O470" s="35"/>
      <c r="P470" s="13"/>
      <c r="Q470" s="7"/>
      <c r="R470" s="7"/>
      <c r="S470" s="7"/>
      <c r="T470" s="7"/>
      <c r="U470" s="7"/>
      <c r="V470" s="31"/>
      <c r="W470" s="11"/>
      <c r="X470" s="11"/>
      <c r="Y470" s="84"/>
      <c r="Z470" s="84"/>
      <c r="AA470" s="84"/>
      <c r="AB470" s="82"/>
      <c r="AC470" s="7"/>
    </row>
    <row r="471" spans="1:29" x14ac:dyDescent="0.2">
      <c r="A471" s="7"/>
      <c r="B471" s="7"/>
      <c r="C471" s="10"/>
      <c r="D471" s="31"/>
      <c r="E471" s="12"/>
      <c r="F471" s="12"/>
      <c r="G471" s="7"/>
      <c r="H471" s="7"/>
      <c r="I471" s="7"/>
      <c r="J471" s="7"/>
      <c r="K471" s="35"/>
      <c r="L471" s="35"/>
      <c r="M471" s="35"/>
      <c r="N471" s="35"/>
      <c r="O471" s="35"/>
      <c r="P471" s="13"/>
      <c r="Q471" s="7"/>
      <c r="R471" s="7"/>
      <c r="S471" s="7"/>
      <c r="T471" s="7"/>
      <c r="U471" s="7"/>
      <c r="V471" s="31"/>
      <c r="W471" s="11"/>
      <c r="X471" s="11"/>
      <c r="Y471" s="84"/>
      <c r="Z471" s="84"/>
      <c r="AA471" s="84"/>
      <c r="AB471" s="82"/>
      <c r="AC471" s="7"/>
    </row>
    <row r="472" spans="1:29" x14ac:dyDescent="0.2">
      <c r="A472" s="7"/>
      <c r="B472" s="7"/>
      <c r="C472" s="10"/>
      <c r="D472" s="31"/>
      <c r="E472" s="12"/>
      <c r="F472" s="12"/>
      <c r="G472" s="7"/>
      <c r="H472" s="7"/>
      <c r="I472" s="7"/>
      <c r="J472" s="7"/>
      <c r="K472" s="35"/>
      <c r="L472" s="35"/>
      <c r="M472" s="35"/>
      <c r="N472" s="35"/>
      <c r="O472" s="35"/>
      <c r="P472" s="13"/>
      <c r="Q472" s="7"/>
      <c r="R472" s="7"/>
      <c r="S472" s="7"/>
      <c r="T472" s="7"/>
      <c r="U472" s="7"/>
      <c r="V472" s="31"/>
      <c r="W472" s="11"/>
      <c r="X472" s="11"/>
      <c r="Y472" s="84"/>
      <c r="Z472" s="84"/>
      <c r="AA472" s="84"/>
      <c r="AB472" s="82"/>
      <c r="AC472" s="7"/>
    </row>
    <row r="473" spans="1:29" x14ac:dyDescent="0.2">
      <c r="A473" s="7"/>
      <c r="B473" s="7"/>
      <c r="C473" s="10"/>
      <c r="D473" s="31"/>
      <c r="E473" s="12"/>
      <c r="F473" s="12"/>
      <c r="G473" s="7"/>
      <c r="H473" s="7"/>
      <c r="I473" s="7"/>
      <c r="J473" s="7"/>
      <c r="K473" s="35"/>
      <c r="L473" s="35"/>
      <c r="M473" s="35"/>
      <c r="N473" s="35"/>
      <c r="O473" s="35"/>
      <c r="P473" s="13"/>
      <c r="Q473" s="7"/>
      <c r="R473" s="7"/>
      <c r="S473" s="7"/>
      <c r="T473" s="7"/>
      <c r="U473" s="7"/>
      <c r="V473" s="31"/>
      <c r="W473" s="11"/>
      <c r="X473" s="11"/>
      <c r="Y473" s="84"/>
      <c r="Z473" s="84"/>
      <c r="AA473" s="84"/>
      <c r="AB473" s="82"/>
      <c r="AC473" s="7"/>
    </row>
    <row r="474" spans="1:29" x14ac:dyDescent="0.2">
      <c r="A474" s="7"/>
      <c r="B474" s="7"/>
      <c r="C474" s="10"/>
      <c r="D474" s="31"/>
      <c r="E474" s="12"/>
      <c r="F474" s="12"/>
      <c r="G474" s="7"/>
      <c r="H474" s="7"/>
      <c r="I474" s="7"/>
      <c r="J474" s="7"/>
      <c r="K474" s="35"/>
      <c r="L474" s="35"/>
      <c r="M474" s="35"/>
      <c r="N474" s="35"/>
      <c r="O474" s="35"/>
      <c r="P474" s="13"/>
      <c r="Q474" s="7"/>
      <c r="R474" s="7"/>
      <c r="S474" s="7"/>
      <c r="T474" s="7"/>
      <c r="U474" s="7"/>
      <c r="V474" s="31"/>
      <c r="W474" s="11"/>
      <c r="X474" s="11"/>
      <c r="Y474" s="84"/>
      <c r="Z474" s="84"/>
      <c r="AA474" s="84"/>
      <c r="AB474" s="82"/>
      <c r="AC474" s="7"/>
    </row>
    <row r="475" spans="1:29" x14ac:dyDescent="0.2">
      <c r="A475" s="21"/>
      <c r="B475" s="21"/>
      <c r="C475" s="20"/>
      <c r="D475" s="73"/>
      <c r="E475" s="38"/>
      <c r="F475" s="38"/>
      <c r="G475" s="21"/>
      <c r="H475" s="21"/>
      <c r="I475" s="21"/>
      <c r="J475" s="21"/>
      <c r="K475" s="67"/>
      <c r="L475" s="67"/>
      <c r="M475" s="67"/>
      <c r="N475" s="67"/>
      <c r="O475" s="67"/>
      <c r="P475" s="68"/>
      <c r="Q475" s="21"/>
      <c r="R475" s="21"/>
      <c r="S475" s="21"/>
      <c r="T475" s="21"/>
      <c r="U475" s="21"/>
      <c r="V475" s="73"/>
      <c r="W475" s="69"/>
      <c r="X475" s="69"/>
      <c r="Y475" s="85"/>
      <c r="Z475" s="85"/>
      <c r="AA475" s="85"/>
      <c r="AB475" s="82"/>
      <c r="AC475" s="7"/>
    </row>
    <row r="476" spans="1:29" x14ac:dyDescent="0.2">
      <c r="A476" s="7"/>
      <c r="B476" s="7"/>
      <c r="C476" s="10"/>
      <c r="D476" s="31"/>
      <c r="E476" s="12"/>
      <c r="F476" s="12"/>
      <c r="G476" s="7"/>
      <c r="H476" s="7"/>
      <c r="I476" s="7"/>
      <c r="J476" s="7"/>
      <c r="K476" s="7"/>
      <c r="L476" s="7"/>
      <c r="M476" s="7"/>
      <c r="N476" s="7"/>
      <c r="O476" s="7"/>
      <c r="P476" s="61"/>
      <c r="Q476" s="7"/>
      <c r="R476" s="7"/>
      <c r="S476" s="7"/>
      <c r="T476" s="7"/>
      <c r="U476" s="7"/>
      <c r="V476" s="31"/>
      <c r="W476" s="11"/>
      <c r="X476" s="11"/>
      <c r="Y476" s="84"/>
      <c r="Z476" s="84"/>
      <c r="AA476" s="84"/>
      <c r="AB476" s="82"/>
      <c r="AC476" s="7"/>
    </row>
    <row r="477" spans="1:29" x14ac:dyDescent="0.2">
      <c r="A477" s="7"/>
      <c r="B477" s="7"/>
      <c r="C477" s="10"/>
      <c r="D477" s="31"/>
      <c r="E477" s="12"/>
      <c r="F477" s="12"/>
      <c r="G477" s="7"/>
      <c r="H477" s="7"/>
      <c r="I477" s="7"/>
      <c r="J477" s="7"/>
      <c r="K477" s="7"/>
      <c r="L477" s="7"/>
      <c r="M477" s="7"/>
      <c r="N477" s="7"/>
      <c r="O477" s="7"/>
      <c r="P477" s="13"/>
      <c r="Q477" s="7"/>
      <c r="R477" s="7"/>
      <c r="S477" s="7"/>
      <c r="T477" s="7"/>
      <c r="U477" s="7"/>
      <c r="V477" s="31"/>
      <c r="W477" s="11"/>
      <c r="X477" s="11"/>
      <c r="Y477" s="84"/>
      <c r="Z477" s="84"/>
      <c r="AA477" s="84"/>
      <c r="AB477" s="82"/>
      <c r="AC477" s="7"/>
    </row>
    <row r="478" spans="1:29" x14ac:dyDescent="0.2">
      <c r="A478" s="7"/>
      <c r="B478" s="7"/>
      <c r="C478" s="10"/>
      <c r="D478" s="31"/>
      <c r="E478" s="12"/>
      <c r="F478" s="12"/>
      <c r="G478" s="7"/>
      <c r="H478" s="7"/>
      <c r="I478" s="7"/>
      <c r="J478" s="7"/>
      <c r="K478" s="7"/>
      <c r="L478" s="7"/>
      <c r="M478" s="7"/>
      <c r="N478" s="7"/>
      <c r="O478" s="7"/>
      <c r="P478" s="13"/>
      <c r="Q478" s="7"/>
      <c r="R478" s="7"/>
      <c r="S478" s="7"/>
      <c r="T478" s="7"/>
      <c r="U478" s="7"/>
      <c r="V478" s="31"/>
      <c r="W478" s="11"/>
      <c r="X478" s="11"/>
      <c r="Y478" s="84"/>
      <c r="Z478" s="84"/>
      <c r="AA478" s="84"/>
      <c r="AB478" s="82"/>
      <c r="AC478" s="7"/>
    </row>
    <row r="479" spans="1:29" x14ac:dyDescent="0.2">
      <c r="A479" s="7"/>
      <c r="B479" s="7"/>
      <c r="C479" s="10"/>
      <c r="D479" s="31"/>
      <c r="E479" s="12"/>
      <c r="F479" s="12"/>
      <c r="G479" s="7"/>
      <c r="H479" s="7"/>
      <c r="I479" s="7"/>
      <c r="J479" s="7"/>
      <c r="K479" s="60"/>
      <c r="L479" s="60"/>
      <c r="M479" s="60"/>
      <c r="N479" s="60"/>
      <c r="O479" s="60"/>
      <c r="P479" s="62"/>
      <c r="Q479" s="63"/>
      <c r="R479" s="63"/>
      <c r="S479" s="63"/>
      <c r="T479" s="63"/>
      <c r="U479" s="63"/>
      <c r="V479" s="31"/>
      <c r="W479" s="11"/>
      <c r="X479" s="11"/>
      <c r="Y479" s="84"/>
      <c r="Z479" s="84"/>
      <c r="AA479" s="84"/>
      <c r="AB479" s="82"/>
      <c r="AC479" s="7"/>
    </row>
    <row r="480" spans="1:29" x14ac:dyDescent="0.2">
      <c r="A480" s="7"/>
      <c r="B480" s="7"/>
      <c r="C480" s="10"/>
      <c r="D480" s="31"/>
      <c r="E480" s="12"/>
      <c r="F480" s="12"/>
      <c r="G480" s="7"/>
      <c r="H480" s="7"/>
      <c r="I480" s="7"/>
      <c r="J480" s="7"/>
      <c r="K480" s="60"/>
      <c r="L480" s="60"/>
      <c r="M480" s="60"/>
      <c r="N480" s="60"/>
      <c r="O480" s="60"/>
      <c r="P480" s="62"/>
      <c r="Q480" s="64"/>
      <c r="R480" s="64"/>
      <c r="S480" s="64"/>
      <c r="T480" s="64"/>
      <c r="U480" s="64"/>
      <c r="V480" s="31"/>
      <c r="W480" s="11"/>
      <c r="X480" s="11"/>
      <c r="Y480" s="84"/>
      <c r="Z480" s="84"/>
      <c r="AA480" s="84"/>
      <c r="AB480" s="82"/>
      <c r="AC480" s="7"/>
    </row>
    <row r="481" spans="1:29" x14ac:dyDescent="0.2">
      <c r="A481" s="7"/>
      <c r="B481" s="7"/>
      <c r="C481" s="10"/>
      <c r="D481" s="31"/>
      <c r="E481" s="12"/>
      <c r="F481" s="12"/>
      <c r="G481" s="7"/>
      <c r="H481" s="7"/>
      <c r="I481" s="7"/>
      <c r="J481" s="7"/>
      <c r="K481" s="60"/>
      <c r="L481" s="60"/>
      <c r="M481" s="60"/>
      <c r="N481" s="60"/>
      <c r="O481" s="60"/>
      <c r="P481" s="62"/>
      <c r="Q481" s="7"/>
      <c r="R481" s="7"/>
      <c r="S481" s="7"/>
      <c r="T481" s="7"/>
      <c r="U481" s="7"/>
      <c r="V481" s="31"/>
      <c r="W481" s="11"/>
      <c r="X481" s="11"/>
      <c r="Y481" s="84"/>
      <c r="Z481" s="84"/>
      <c r="AA481" s="84"/>
      <c r="AB481" s="82"/>
      <c r="AC481" s="7"/>
    </row>
    <row r="482" spans="1:29" x14ac:dyDescent="0.2">
      <c r="A482" s="7"/>
      <c r="B482" s="7"/>
      <c r="C482" s="10"/>
      <c r="D482" s="31"/>
      <c r="E482" s="12"/>
      <c r="F482" s="12"/>
      <c r="G482" s="7"/>
      <c r="H482" s="7"/>
      <c r="I482" s="7"/>
      <c r="J482" s="7"/>
      <c r="K482" s="60"/>
      <c r="L482" s="60"/>
      <c r="M482" s="60"/>
      <c r="N482" s="60"/>
      <c r="O482" s="60"/>
      <c r="P482" s="62"/>
      <c r="Q482" s="7"/>
      <c r="R482" s="7"/>
      <c r="S482" s="7"/>
      <c r="T482" s="7"/>
      <c r="U482" s="7"/>
      <c r="V482" s="31"/>
      <c r="W482" s="11"/>
      <c r="X482" s="11"/>
      <c r="Y482" s="84"/>
      <c r="Z482" s="84"/>
      <c r="AA482" s="84"/>
      <c r="AB482" s="82"/>
      <c r="AC482" s="7"/>
    </row>
    <row r="483" spans="1:29" x14ac:dyDescent="0.2">
      <c r="A483" s="7"/>
      <c r="B483" s="7"/>
      <c r="C483" s="10"/>
      <c r="D483" s="31"/>
      <c r="E483" s="12"/>
      <c r="F483" s="12"/>
      <c r="G483" s="7"/>
      <c r="H483" s="7"/>
      <c r="I483" s="7"/>
      <c r="J483" s="7"/>
      <c r="K483" s="60"/>
      <c r="L483" s="60"/>
      <c r="M483" s="60"/>
      <c r="N483" s="60"/>
      <c r="O483" s="60"/>
      <c r="P483" s="62"/>
      <c r="Q483" s="7"/>
      <c r="R483" s="7"/>
      <c r="S483" s="7"/>
      <c r="T483" s="7"/>
      <c r="U483" s="7"/>
      <c r="V483" s="31"/>
      <c r="W483" s="11"/>
      <c r="X483" s="11"/>
      <c r="Y483" s="84"/>
      <c r="Z483" s="84"/>
      <c r="AA483" s="84"/>
      <c r="AB483" s="82"/>
      <c r="AC483" s="7"/>
    </row>
    <row r="484" spans="1:29" x14ac:dyDescent="0.2">
      <c r="A484" s="7"/>
      <c r="B484" s="7"/>
      <c r="C484" s="10"/>
      <c r="D484" s="31"/>
      <c r="E484" s="12"/>
      <c r="F484" s="12"/>
      <c r="G484" s="7"/>
      <c r="H484" s="7"/>
      <c r="I484" s="7"/>
      <c r="J484" s="7"/>
      <c r="K484" s="60"/>
      <c r="L484" s="60"/>
      <c r="M484" s="60"/>
      <c r="N484" s="60"/>
      <c r="O484" s="60"/>
      <c r="P484" s="62"/>
      <c r="Q484" s="7"/>
      <c r="R484" s="7"/>
      <c r="S484" s="7"/>
      <c r="T484" s="7"/>
      <c r="U484" s="7"/>
      <c r="V484" s="31"/>
      <c r="W484" s="11"/>
      <c r="X484" s="11"/>
      <c r="Y484" s="84"/>
      <c r="Z484" s="84"/>
      <c r="AA484" s="84"/>
      <c r="AB484" s="82"/>
      <c r="AC484" s="7"/>
    </row>
    <row r="485" spans="1:29" x14ac:dyDescent="0.25">
      <c r="A485" s="7"/>
      <c r="B485" s="7"/>
      <c r="C485" s="10"/>
      <c r="D485" s="31"/>
      <c r="E485" s="12"/>
      <c r="F485" s="12"/>
      <c r="G485" s="7"/>
      <c r="H485" s="7"/>
      <c r="I485" s="7"/>
      <c r="J485" s="7"/>
      <c r="K485" s="65"/>
      <c r="L485" s="65"/>
      <c r="M485" s="65"/>
      <c r="N485" s="65"/>
      <c r="O485" s="65"/>
      <c r="P485" s="66"/>
      <c r="Q485" s="7"/>
      <c r="R485" s="7"/>
      <c r="S485" s="7"/>
      <c r="T485" s="7"/>
      <c r="U485" s="7"/>
      <c r="V485" s="31"/>
      <c r="W485" s="11"/>
      <c r="X485" s="11"/>
      <c r="Y485" s="84"/>
      <c r="Z485" s="84"/>
      <c r="AA485" s="84"/>
      <c r="AB485" s="82"/>
      <c r="AC485" s="7"/>
    </row>
    <row r="486" spans="1:29" x14ac:dyDescent="0.2">
      <c r="A486" s="7"/>
      <c r="B486" s="7"/>
      <c r="C486" s="10"/>
      <c r="D486" s="31"/>
      <c r="E486" s="12"/>
      <c r="F486" s="12"/>
      <c r="G486" s="7"/>
      <c r="H486" s="7"/>
      <c r="I486" s="7"/>
      <c r="J486" s="7"/>
      <c r="K486" s="35"/>
      <c r="L486" s="35"/>
      <c r="M486" s="35"/>
      <c r="N486" s="35"/>
      <c r="O486" s="35"/>
      <c r="P486" s="13"/>
      <c r="Q486" s="7"/>
      <c r="R486" s="7"/>
      <c r="S486" s="7"/>
      <c r="T486" s="7"/>
      <c r="U486" s="7"/>
      <c r="V486" s="31"/>
      <c r="W486" s="11"/>
      <c r="X486" s="11"/>
      <c r="Y486" s="84"/>
      <c r="Z486" s="84"/>
      <c r="AA486" s="84"/>
      <c r="AB486" s="82"/>
      <c r="AC486" s="7"/>
    </row>
    <row r="487" spans="1:29" x14ac:dyDescent="0.2">
      <c r="A487" s="7"/>
      <c r="B487" s="7"/>
      <c r="C487" s="10"/>
      <c r="D487" s="31"/>
      <c r="E487" s="12"/>
      <c r="F487" s="12"/>
      <c r="G487" s="7"/>
      <c r="H487" s="7"/>
      <c r="I487" s="7"/>
      <c r="J487" s="7"/>
      <c r="K487" s="35"/>
      <c r="L487" s="35"/>
      <c r="M487" s="35"/>
      <c r="N487" s="35"/>
      <c r="O487" s="35"/>
      <c r="P487" s="13"/>
      <c r="Q487" s="7"/>
      <c r="R487" s="7"/>
      <c r="S487" s="7"/>
      <c r="T487" s="7"/>
      <c r="U487" s="7"/>
      <c r="V487" s="31"/>
      <c r="W487" s="11"/>
      <c r="X487" s="11"/>
      <c r="Y487" s="84"/>
      <c r="Z487" s="84"/>
      <c r="AA487" s="84"/>
      <c r="AB487" s="82"/>
      <c r="AC487" s="7"/>
    </row>
    <row r="488" spans="1:29" x14ac:dyDescent="0.2">
      <c r="A488" s="7"/>
      <c r="B488" s="7"/>
      <c r="C488" s="10"/>
      <c r="D488" s="31"/>
      <c r="E488" s="12"/>
      <c r="F488" s="12"/>
      <c r="G488" s="7"/>
      <c r="H488" s="7"/>
      <c r="I488" s="7"/>
      <c r="J488" s="7"/>
      <c r="K488" s="35"/>
      <c r="L488" s="35"/>
      <c r="M488" s="35"/>
      <c r="N488" s="35"/>
      <c r="O488" s="35"/>
      <c r="P488" s="13"/>
      <c r="Q488" s="7"/>
      <c r="R488" s="7"/>
      <c r="S488" s="7"/>
      <c r="T488" s="7"/>
      <c r="U488" s="7"/>
      <c r="V488" s="31"/>
      <c r="W488" s="11"/>
      <c r="X488" s="11"/>
      <c r="Y488" s="84"/>
      <c r="Z488" s="84"/>
      <c r="AA488" s="84"/>
      <c r="AB488" s="82"/>
      <c r="AC488" s="7"/>
    </row>
    <row r="489" spans="1:29" x14ac:dyDescent="0.2">
      <c r="A489" s="7"/>
      <c r="B489" s="7"/>
      <c r="C489" s="10"/>
      <c r="D489" s="31"/>
      <c r="E489" s="12"/>
      <c r="F489" s="12"/>
      <c r="G489" s="7"/>
      <c r="H489" s="7"/>
      <c r="I489" s="7"/>
      <c r="J489" s="7"/>
      <c r="K489" s="35"/>
      <c r="L489" s="35"/>
      <c r="M489" s="35"/>
      <c r="N489" s="35"/>
      <c r="O489" s="35"/>
      <c r="P489" s="13"/>
      <c r="Q489" s="7"/>
      <c r="R489" s="7"/>
      <c r="S489" s="7"/>
      <c r="T489" s="7"/>
      <c r="U489" s="7"/>
      <c r="V489" s="31"/>
      <c r="W489" s="11"/>
      <c r="X489" s="11"/>
      <c r="Y489" s="84"/>
      <c r="Z489" s="84"/>
      <c r="AA489" s="84"/>
      <c r="AB489" s="82"/>
      <c r="AC489" s="7"/>
    </row>
    <row r="490" spans="1:29" x14ac:dyDescent="0.2">
      <c r="A490" s="7"/>
      <c r="B490" s="7"/>
      <c r="C490" s="10"/>
      <c r="D490" s="31"/>
      <c r="E490" s="12"/>
      <c r="F490" s="12"/>
      <c r="G490" s="7"/>
      <c r="H490" s="7"/>
      <c r="I490" s="7"/>
      <c r="J490" s="7"/>
      <c r="K490" s="35"/>
      <c r="L490" s="35"/>
      <c r="M490" s="35"/>
      <c r="N490" s="35"/>
      <c r="O490" s="35"/>
      <c r="P490" s="13"/>
      <c r="Q490" s="7"/>
      <c r="R490" s="7"/>
      <c r="S490" s="7"/>
      <c r="T490" s="7"/>
      <c r="U490" s="7"/>
      <c r="V490" s="31"/>
      <c r="W490" s="11"/>
      <c r="X490" s="11"/>
      <c r="Y490" s="84"/>
      <c r="Z490" s="84"/>
      <c r="AA490" s="84"/>
      <c r="AB490" s="82"/>
      <c r="AC490" s="7"/>
    </row>
    <row r="491" spans="1:29" x14ac:dyDescent="0.2">
      <c r="A491" s="7"/>
      <c r="B491" s="7"/>
      <c r="C491" s="10"/>
      <c r="D491" s="31"/>
      <c r="E491" s="12"/>
      <c r="F491" s="12"/>
      <c r="G491" s="7"/>
      <c r="H491" s="7"/>
      <c r="I491" s="7"/>
      <c r="J491" s="7"/>
      <c r="K491" s="35"/>
      <c r="L491" s="35"/>
      <c r="M491" s="35"/>
      <c r="N491" s="35"/>
      <c r="O491" s="35"/>
      <c r="P491" s="13"/>
      <c r="Q491" s="7"/>
      <c r="R491" s="7"/>
      <c r="S491" s="7"/>
      <c r="T491" s="7"/>
      <c r="U491" s="7"/>
      <c r="V491" s="31"/>
      <c r="W491" s="11"/>
      <c r="X491" s="11"/>
      <c r="Y491" s="84"/>
      <c r="Z491" s="84"/>
      <c r="AA491" s="84"/>
      <c r="AB491" s="82"/>
      <c r="AC491" s="7"/>
    </row>
    <row r="492" spans="1:29" x14ac:dyDescent="0.2">
      <c r="A492" s="7"/>
      <c r="B492" s="7"/>
      <c r="C492" s="10"/>
      <c r="D492" s="31"/>
      <c r="E492" s="12"/>
      <c r="F492" s="12"/>
      <c r="G492" s="7"/>
      <c r="H492" s="7"/>
      <c r="I492" s="7"/>
      <c r="J492" s="7"/>
      <c r="K492" s="35"/>
      <c r="L492" s="35"/>
      <c r="M492" s="35"/>
      <c r="N492" s="35"/>
      <c r="O492" s="35"/>
      <c r="P492" s="13"/>
      <c r="Q492" s="7"/>
      <c r="R492" s="7"/>
      <c r="S492" s="7"/>
      <c r="T492" s="7"/>
      <c r="U492" s="7"/>
      <c r="V492" s="31"/>
      <c r="W492" s="11"/>
      <c r="X492" s="11"/>
      <c r="Y492" s="84"/>
      <c r="Z492" s="84"/>
      <c r="AA492" s="84"/>
      <c r="AB492" s="82"/>
      <c r="AC492" s="7"/>
    </row>
    <row r="493" spans="1:29" x14ac:dyDescent="0.2">
      <c r="A493" s="21"/>
      <c r="B493" s="21"/>
      <c r="C493" s="20"/>
      <c r="D493" s="73"/>
      <c r="E493" s="38"/>
      <c r="F493" s="38"/>
      <c r="G493" s="21"/>
      <c r="H493" s="21"/>
      <c r="I493" s="21"/>
      <c r="J493" s="21"/>
      <c r="K493" s="67"/>
      <c r="L493" s="67"/>
      <c r="M493" s="67"/>
      <c r="N493" s="67"/>
      <c r="O493" s="67"/>
      <c r="P493" s="68"/>
      <c r="Q493" s="21"/>
      <c r="R493" s="21"/>
      <c r="S493" s="21"/>
      <c r="T493" s="21"/>
      <c r="U493" s="21"/>
      <c r="V493" s="73"/>
      <c r="W493" s="69"/>
      <c r="X493" s="69"/>
      <c r="Y493" s="85"/>
      <c r="Z493" s="85"/>
      <c r="AA493" s="85"/>
      <c r="AB493" s="82"/>
      <c r="AC493" s="7"/>
    </row>
    <row r="494" spans="1:29" x14ac:dyDescent="0.2">
      <c r="A494" s="7"/>
      <c r="B494" s="7"/>
      <c r="C494" s="10"/>
      <c r="D494" s="31"/>
      <c r="E494" s="12"/>
      <c r="F494" s="12"/>
      <c r="G494" s="7"/>
      <c r="H494" s="7"/>
      <c r="I494" s="7"/>
      <c r="J494" s="7"/>
      <c r="K494" s="35"/>
      <c r="L494" s="35"/>
      <c r="M494" s="35"/>
      <c r="N494" s="35"/>
      <c r="O494" s="35"/>
      <c r="P494" s="13"/>
      <c r="Q494" s="7"/>
      <c r="R494" s="7"/>
      <c r="S494" s="7"/>
      <c r="T494" s="7"/>
      <c r="U494" s="7"/>
      <c r="V494" s="31"/>
      <c r="W494" s="11"/>
      <c r="X494" s="11"/>
      <c r="Y494" s="84"/>
      <c r="Z494" s="84"/>
      <c r="AA494" s="84"/>
      <c r="AB494" s="82"/>
      <c r="AC494" s="7"/>
    </row>
  </sheetData>
  <sheetProtection sort="0" autoFilter="0" pivotTables="0"/>
  <autoFilter ref="A1:AC439" xr:uid="{00000000-0001-0000-0200-000000000000}">
    <filterColumn colId="3">
      <filters>
        <dateGroupItem year="2026" dateTimeGrouping="year"/>
      </filters>
    </filterColumn>
    <sortState xmlns:xlrd2="http://schemas.microsoft.com/office/spreadsheetml/2017/richdata2" ref="A2:AC439">
      <sortCondition ref="D1:D439"/>
    </sortState>
  </autoFilter>
  <sortState xmlns:xlrd2="http://schemas.microsoft.com/office/spreadsheetml/2017/richdata2" ref="C2:Y489">
    <sortCondition ref="D1"/>
  </sortState>
  <conditionalFormatting sqref="P475">
    <cfRule type="duplicateValues" dxfId="449" priority="485"/>
  </conditionalFormatting>
  <conditionalFormatting sqref="C334:C1048576 C1:C332">
    <cfRule type="duplicateValues" dxfId="448" priority="15"/>
  </conditionalFormatting>
  <conditionalFormatting sqref="C333">
    <cfRule type="duplicateValues" dxfId="447" priority="13"/>
  </conditionalFormatting>
  <conditionalFormatting sqref="A1:B1">
    <cfRule type="duplicateValues" dxfId="446" priority="4"/>
  </conditionalFormatting>
  <conditionalFormatting sqref="B1:B1048576">
    <cfRule type="duplicateValues" dxfId="445" priority="3"/>
  </conditionalFormatting>
  <conditionalFormatting sqref="E120">
    <cfRule type="duplicateValues" dxfId="444" priority="2"/>
  </conditionalFormatting>
  <conditionalFormatting sqref="E134">
    <cfRule type="duplicateValues" dxfId="443" priority="1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5083B-2DD0-4E0D-88F7-C7C162233CFF}">
  <dimension ref="A1:AC2"/>
  <sheetViews>
    <sheetView workbookViewId="0">
      <selection activeCell="C6" sqref="C6"/>
    </sheetView>
  </sheetViews>
  <sheetFormatPr defaultRowHeight="14.25" x14ac:dyDescent="0.2"/>
  <sheetData>
    <row r="1" spans="1:29" ht="71.25" x14ac:dyDescent="0.2">
      <c r="A1" s="41" t="s">
        <v>0</v>
      </c>
      <c r="B1" s="42" t="s">
        <v>1</v>
      </c>
      <c r="C1" s="41" t="s">
        <v>392</v>
      </c>
      <c r="D1" s="46" t="s">
        <v>3</v>
      </c>
      <c r="E1" s="42" t="s">
        <v>4</v>
      </c>
      <c r="F1" s="42" t="s">
        <v>5</v>
      </c>
      <c r="G1" s="41" t="s">
        <v>6</v>
      </c>
      <c r="H1" s="41" t="s">
        <v>7</v>
      </c>
      <c r="I1" s="41" t="s">
        <v>8</v>
      </c>
      <c r="J1" s="44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260" t="s">
        <v>14</v>
      </c>
      <c r="P1" s="44" t="s">
        <v>15</v>
      </c>
      <c r="Q1" s="41" t="s">
        <v>16</v>
      </c>
      <c r="R1" s="42" t="s">
        <v>17</v>
      </c>
      <c r="S1" s="42" t="s">
        <v>18</v>
      </c>
      <c r="T1" s="42" t="s">
        <v>19</v>
      </c>
      <c r="U1" s="42" t="s">
        <v>20</v>
      </c>
      <c r="V1" s="46" t="s">
        <v>21</v>
      </c>
      <c r="W1" s="41" t="s">
        <v>22</v>
      </c>
      <c r="X1" s="41" t="s">
        <v>23</v>
      </c>
      <c r="Y1" s="41" t="s">
        <v>24</v>
      </c>
      <c r="Z1" s="86" t="s">
        <v>25</v>
      </c>
      <c r="AA1" s="86" t="s">
        <v>26</v>
      </c>
      <c r="AB1" s="86" t="s">
        <v>27</v>
      </c>
      <c r="AC1" s="15" t="s">
        <v>28</v>
      </c>
    </row>
    <row r="2" spans="1:29" ht="30" x14ac:dyDescent="0.2">
      <c r="A2" s="7">
        <f>ROW(C2)-1</f>
        <v>1</v>
      </c>
      <c r="B2" s="7" t="str">
        <f>LEFT(C2,12)</f>
        <v>15B2C2602012</v>
      </c>
      <c r="C2" s="10" t="s">
        <v>393</v>
      </c>
      <c r="D2" s="31">
        <v>46125</v>
      </c>
      <c r="E2" s="12" t="s">
        <v>169</v>
      </c>
      <c r="F2" s="12" t="s">
        <v>133</v>
      </c>
      <c r="G2" s="7" t="s">
        <v>133</v>
      </c>
      <c r="H2" s="7"/>
      <c r="I2" s="7" t="s">
        <v>51</v>
      </c>
      <c r="J2" s="35">
        <v>196830361</v>
      </c>
      <c r="K2" s="70">
        <v>212576790</v>
      </c>
      <c r="L2" s="37"/>
      <c r="M2" s="70">
        <f>J2-J2*N2</f>
        <v>157464288.80000001</v>
      </c>
      <c r="N2" s="262">
        <v>0.2</v>
      </c>
      <c r="O2" s="37">
        <f>+N2*J2</f>
        <v>39366072.200000003</v>
      </c>
      <c r="P2" s="13" t="s">
        <v>170</v>
      </c>
      <c r="Q2" s="7" t="str">
        <f>VLOOKUP('Data Doanh số'!P3,'DROPDOWNDATA-NOFILL'!$A$1:$B$40,2,FALSE)</f>
        <v>BU 1</v>
      </c>
      <c r="R2" s="183" t="s">
        <v>60</v>
      </c>
      <c r="S2" s="7" t="s">
        <v>44</v>
      </c>
      <c r="T2" s="7" t="s">
        <v>75</v>
      </c>
      <c r="U2" s="7" t="s">
        <v>65</v>
      </c>
      <c r="V2" s="123">
        <v>46126</v>
      </c>
      <c r="W2" s="8">
        <f>YEAR(D2)</f>
        <v>2026</v>
      </c>
      <c r="X2" s="8">
        <f>MONTH(D2)</f>
        <v>4</v>
      </c>
      <c r="Y2" s="83">
        <f>DAY(D2)</f>
        <v>13</v>
      </c>
      <c r="Z2" s="83" t="str">
        <f>"W"&amp;WEEKNUM(D2)-WEEKNUM(EOMONTH(D2,-1)+1)+1</f>
        <v>W3</v>
      </c>
      <c r="AA2" s="83" t="str">
        <f>"Quý "&amp;ROMAN(ROUNDUP(X2/3,0))</f>
        <v>Quý II</v>
      </c>
      <c r="AB2" s="80" t="str">
        <f>IF(OR(G2="Facebook",G2="Hotline",G2="Zalo",G2="Website",G2="Walk in"),"MKT",G2)</f>
        <v>Sale tự kiếm</v>
      </c>
      <c r="AC2" s="7"/>
    </row>
  </sheetData>
  <conditionalFormatting sqref="C2">
    <cfRule type="duplicateValues" dxfId="442" priority="5"/>
  </conditionalFormatting>
  <conditionalFormatting sqref="B2">
    <cfRule type="duplicateValues" dxfId="441" priority="4"/>
  </conditionalFormatting>
  <conditionalFormatting sqref="C1">
    <cfRule type="duplicateValues" dxfId="440" priority="3"/>
  </conditionalFormatting>
  <conditionalFormatting sqref="A1:B1">
    <cfRule type="duplicateValues" dxfId="439" priority="2"/>
  </conditionalFormatting>
  <conditionalFormatting sqref="B1">
    <cfRule type="duplicateValues" dxfId="43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B8147-A4FE-4E19-9847-535EA9BAC8A3}">
  <dimension ref="A1:AD125"/>
  <sheetViews>
    <sheetView topLeftCell="D5" workbookViewId="0">
      <selection activeCell="L16" sqref="L16"/>
    </sheetView>
  </sheetViews>
  <sheetFormatPr defaultColWidth="9.125" defaultRowHeight="15" x14ac:dyDescent="0.25"/>
  <cols>
    <col min="1" max="1" width="9.125" style="88"/>
    <col min="2" max="2" width="18.625" style="88" customWidth="1"/>
    <col min="3" max="3" width="25.875" style="88" customWidth="1"/>
    <col min="4" max="4" width="18.25" style="88" customWidth="1"/>
    <col min="5" max="5" width="21.25" style="88" customWidth="1"/>
    <col min="6" max="6" width="21.875" style="88" customWidth="1"/>
    <col min="7" max="8" width="16.75" style="88" customWidth="1"/>
    <col min="9" max="9" width="22.25" style="88" customWidth="1"/>
    <col min="10" max="10" width="15.875" style="88" customWidth="1"/>
    <col min="11" max="11" width="0" style="88" hidden="1" customWidth="1"/>
    <col min="12" max="12" width="21.75" style="159" customWidth="1"/>
    <col min="13" max="13" width="17.375" style="88" customWidth="1"/>
    <col min="14" max="14" width="25.375" style="88" hidden="1" customWidth="1"/>
    <col min="15" max="17" width="9.125" style="88" hidden="1" customWidth="1"/>
    <col min="18" max="18" width="14.25" style="88" hidden="1" customWidth="1"/>
    <col min="19" max="24" width="9.125" style="88"/>
    <col min="25" max="25" width="15" style="88" customWidth="1"/>
    <col min="26" max="26" width="9.125" style="89"/>
    <col min="27" max="28" width="16.625" style="89" customWidth="1"/>
    <col min="29" max="29" width="17.125" style="89" customWidth="1"/>
    <col min="30" max="30" width="13.625" style="89" customWidth="1"/>
    <col min="31" max="16384" width="9.125" style="89"/>
  </cols>
  <sheetData>
    <row r="1" spans="1:30" ht="42.75" x14ac:dyDescent="0.25">
      <c r="A1" s="147" t="s">
        <v>0</v>
      </c>
      <c r="B1" s="148" t="s">
        <v>1</v>
      </c>
      <c r="C1" s="147" t="s">
        <v>392</v>
      </c>
      <c r="D1" s="149" t="s">
        <v>3</v>
      </c>
      <c r="E1" s="148" t="s">
        <v>4</v>
      </c>
      <c r="F1" s="148" t="s">
        <v>5</v>
      </c>
      <c r="G1" s="147" t="s">
        <v>6</v>
      </c>
      <c r="H1" s="147" t="s">
        <v>8</v>
      </c>
      <c r="I1" s="150" t="s">
        <v>9</v>
      </c>
      <c r="J1" s="151" t="s">
        <v>10</v>
      </c>
      <c r="K1" s="151" t="s">
        <v>11</v>
      </c>
      <c r="L1" s="150" t="s">
        <v>15</v>
      </c>
      <c r="M1" s="147" t="s">
        <v>16</v>
      </c>
      <c r="N1" s="148" t="s">
        <v>17</v>
      </c>
      <c r="O1" s="148" t="s">
        <v>18</v>
      </c>
      <c r="P1" s="148" t="s">
        <v>19</v>
      </c>
      <c r="Q1" s="148" t="s">
        <v>20</v>
      </c>
      <c r="R1" s="149" t="s">
        <v>21</v>
      </c>
      <c r="S1" s="147" t="s">
        <v>22</v>
      </c>
      <c r="T1" s="147" t="s">
        <v>23</v>
      </c>
      <c r="U1" s="147" t="s">
        <v>24</v>
      </c>
      <c r="V1" s="147" t="s">
        <v>25</v>
      </c>
      <c r="W1" s="160" t="s">
        <v>26</v>
      </c>
      <c r="X1" s="160" t="s">
        <v>27</v>
      </c>
      <c r="Y1" s="163" t="s">
        <v>394</v>
      </c>
      <c r="AA1" s="169" t="s">
        <v>394</v>
      </c>
      <c r="AB1" s="169" t="s">
        <v>16</v>
      </c>
      <c r="AC1" s="170" t="s">
        <v>395</v>
      </c>
      <c r="AD1" s="166" t="s">
        <v>396</v>
      </c>
    </row>
    <row r="2" spans="1:30" s="176" customFormat="1" ht="30" x14ac:dyDescent="0.2">
      <c r="A2" s="152">
        <f>+ROW(A1)</f>
        <v>1</v>
      </c>
      <c r="B2" s="146" t="s">
        <v>397</v>
      </c>
      <c r="C2" s="146" t="s">
        <v>397</v>
      </c>
      <c r="D2" s="174">
        <v>46087</v>
      </c>
      <c r="E2" s="288" t="s">
        <v>398</v>
      </c>
      <c r="F2" s="146" t="s">
        <v>40</v>
      </c>
      <c r="G2" s="152" t="s">
        <v>40</v>
      </c>
      <c r="H2" s="152" t="s">
        <v>51</v>
      </c>
      <c r="I2" s="155">
        <f>+J2/1.08</f>
        <v>2981684518.5185184</v>
      </c>
      <c r="J2" s="175">
        <v>3220219280</v>
      </c>
      <c r="K2" s="146"/>
      <c r="L2" s="146" t="s">
        <v>153</v>
      </c>
      <c r="M2" s="152" t="str">
        <f>VLOOKUP(L2,'DROPDOWNDATA-NOFILL'!$A:$B,2,FALSE)</f>
        <v>BU 2</v>
      </c>
      <c r="N2" s="152" t="s">
        <v>34</v>
      </c>
      <c r="O2" s="146"/>
      <c r="P2" s="146"/>
      <c r="Q2" s="146"/>
      <c r="R2" s="146"/>
      <c r="S2" s="158">
        <f>YEAR(D2)</f>
        <v>2026</v>
      </c>
      <c r="T2" s="158">
        <f>MONTH(D2)</f>
        <v>3</v>
      </c>
      <c r="U2" s="158">
        <f>DAY(D2)</f>
        <v>6</v>
      </c>
      <c r="V2" s="158" t="str">
        <f>"W"&amp;WEEKNUM(D2)-WEEKNUM(EOMONTH(D2,-1)+1)+1</f>
        <v>W1</v>
      </c>
      <c r="W2" s="173" t="str">
        <f>"Quý "&amp;ROMAN(ROUNDUP(T2/3,0))</f>
        <v>Quý I</v>
      </c>
      <c r="X2" s="161" t="s">
        <v>52</v>
      </c>
      <c r="Y2" s="146">
        <v>2025</v>
      </c>
      <c r="AA2" s="164">
        <v>2025</v>
      </c>
      <c r="AB2" s="164"/>
      <c r="AC2" s="165">
        <v>10099100936.074074</v>
      </c>
      <c r="AD2" s="165">
        <v>5</v>
      </c>
    </row>
    <row r="3" spans="1:30" s="176" customFormat="1" ht="30" x14ac:dyDescent="0.2">
      <c r="A3" s="152">
        <f t="shared" ref="A3:A14" si="0">+ROW(A2)</f>
        <v>2</v>
      </c>
      <c r="B3" s="146" t="s">
        <v>399</v>
      </c>
      <c r="C3" s="146" t="s">
        <v>400</v>
      </c>
      <c r="D3" s="174">
        <v>46087</v>
      </c>
      <c r="E3" s="288" t="s">
        <v>401</v>
      </c>
      <c r="F3" s="146" t="s">
        <v>40</v>
      </c>
      <c r="G3" s="146" t="s">
        <v>40</v>
      </c>
      <c r="H3" s="152" t="s">
        <v>51</v>
      </c>
      <c r="I3" s="155">
        <f>+J3/1.08</f>
        <v>1018037037</v>
      </c>
      <c r="J3" s="175">
        <v>1099479999.96</v>
      </c>
      <c r="K3" s="146"/>
      <c r="L3" s="157" t="s">
        <v>42</v>
      </c>
      <c r="M3" s="152" t="str">
        <f>VLOOKUP(L3,'DROPDOWNDATA-NOFILL'!$A:$B,2,FALSE)</f>
        <v>BU 1</v>
      </c>
      <c r="N3" s="146"/>
      <c r="O3" s="146"/>
      <c r="P3" s="146"/>
      <c r="Q3" s="146"/>
      <c r="R3" s="146"/>
      <c r="S3" s="158">
        <f>YEAR(D3)</f>
        <v>2026</v>
      </c>
      <c r="T3" s="158">
        <f>MONTH(D3)</f>
        <v>3</v>
      </c>
      <c r="U3" s="158">
        <f>DAY(D3)</f>
        <v>6</v>
      </c>
      <c r="V3" s="158" t="str">
        <f>"W"&amp;WEEKNUM(D3)-WEEKNUM(EOMONTH(D3,-1)+1)+1</f>
        <v>W1</v>
      </c>
      <c r="W3" s="173" t="str">
        <f t="shared" ref="W3:W10" si="1">"Quý "&amp;ROMAN(ROUNDUP(T3/3,0))</f>
        <v>Quý I</v>
      </c>
      <c r="X3" s="161" t="s">
        <v>52</v>
      </c>
      <c r="Y3" s="146">
        <v>2025</v>
      </c>
      <c r="AA3" s="164"/>
      <c r="AB3" s="164" t="s">
        <v>402</v>
      </c>
      <c r="AC3" s="165">
        <v>1018037037</v>
      </c>
      <c r="AD3" s="165">
        <v>1</v>
      </c>
    </row>
    <row r="4" spans="1:30" s="176" customFormat="1" x14ac:dyDescent="0.2">
      <c r="A4" s="152">
        <f t="shared" si="0"/>
        <v>3</v>
      </c>
      <c r="B4" s="152" t="s">
        <v>106</v>
      </c>
      <c r="C4" s="145" t="s">
        <v>107</v>
      </c>
      <c r="D4" s="153">
        <v>46091</v>
      </c>
      <c r="E4" s="154" t="s">
        <v>108</v>
      </c>
      <c r="F4" s="152" t="s">
        <v>40</v>
      </c>
      <c r="G4" s="152" t="s">
        <v>40</v>
      </c>
      <c r="H4" s="152" t="s">
        <v>51</v>
      </c>
      <c r="I4" s="155">
        <v>419351162.96296293</v>
      </c>
      <c r="J4" s="156">
        <v>452899256</v>
      </c>
      <c r="K4" s="156"/>
      <c r="L4" s="157" t="s">
        <v>105</v>
      </c>
      <c r="M4" s="152" t="str">
        <f>VLOOKUP(L4,'DROPDOWNDATA-NOFILL'!$A:$B,2,FALSE)</f>
        <v>BU 1</v>
      </c>
      <c r="N4" s="152" t="s">
        <v>43</v>
      </c>
      <c r="O4" s="152" t="s">
        <v>44</v>
      </c>
      <c r="P4" s="152" t="s">
        <v>45</v>
      </c>
      <c r="Q4" s="152" t="s">
        <v>46</v>
      </c>
      <c r="R4" s="153">
        <v>46042</v>
      </c>
      <c r="S4" s="158">
        <f>YEAR(D4)</f>
        <v>2026</v>
      </c>
      <c r="T4" s="158">
        <f>MONTH(D4)</f>
        <v>3</v>
      </c>
      <c r="U4" s="158">
        <f>DAY(D4)</f>
        <v>10</v>
      </c>
      <c r="V4" s="158" t="str">
        <f>"W"&amp;WEEKNUM(D4)-WEEKNUM(EOMONTH(D4,-1)+1)+1</f>
        <v>W2</v>
      </c>
      <c r="W4" s="173" t="str">
        <f t="shared" si="1"/>
        <v>Quý I</v>
      </c>
      <c r="X4" s="161" t="s">
        <v>52</v>
      </c>
      <c r="Y4" s="152">
        <v>2026</v>
      </c>
      <c r="AA4" s="164"/>
      <c r="AB4" s="164" t="s">
        <v>403</v>
      </c>
      <c r="AC4" s="165">
        <v>2981684518.5185184</v>
      </c>
      <c r="AD4" s="165">
        <v>1</v>
      </c>
    </row>
    <row r="5" spans="1:30" s="176" customFormat="1" ht="30" x14ac:dyDescent="0.2">
      <c r="A5" s="152">
        <f t="shared" si="0"/>
        <v>4</v>
      </c>
      <c r="B5" s="152" t="s">
        <v>48</v>
      </c>
      <c r="C5" s="145" t="s">
        <v>404</v>
      </c>
      <c r="D5" s="153">
        <v>46091</v>
      </c>
      <c r="E5" s="154" t="s">
        <v>50</v>
      </c>
      <c r="F5" s="154" t="s">
        <v>40</v>
      </c>
      <c r="G5" s="152" t="s">
        <v>40</v>
      </c>
      <c r="H5" s="152" t="s">
        <v>51</v>
      </c>
      <c r="I5" s="155">
        <v>206074074.07407406</v>
      </c>
      <c r="J5" s="156">
        <v>222560000</v>
      </c>
      <c r="K5" s="156"/>
      <c r="L5" s="157" t="s">
        <v>42</v>
      </c>
      <c r="M5" s="152" t="str">
        <f>VLOOKUP(L5,'DROPDOWNDATA-NOFILL'!$A:$B,2,FALSE)</f>
        <v>BU 1</v>
      </c>
      <c r="N5" s="152" t="s">
        <v>43</v>
      </c>
      <c r="O5" s="152" t="s">
        <v>44</v>
      </c>
      <c r="P5" s="152" t="s">
        <v>45</v>
      </c>
      <c r="Q5" s="152" t="s">
        <v>46</v>
      </c>
      <c r="R5" s="153" t="s">
        <v>47</v>
      </c>
      <c r="S5" s="158">
        <f>YEAR(D5)</f>
        <v>2026</v>
      </c>
      <c r="T5" s="158">
        <f>MONTH(D5)</f>
        <v>3</v>
      </c>
      <c r="U5" s="158">
        <f>DAY(D5)</f>
        <v>10</v>
      </c>
      <c r="V5" s="158" t="str">
        <f>"W"&amp;WEEKNUM(D5)-WEEKNUM(EOMONTH(D5,-1)+1)+1</f>
        <v>W2</v>
      </c>
      <c r="W5" s="173" t="str">
        <f t="shared" si="1"/>
        <v>Quý I</v>
      </c>
      <c r="X5" s="161" t="s">
        <v>52</v>
      </c>
      <c r="Y5" s="152">
        <v>2026</v>
      </c>
      <c r="AA5" s="164"/>
      <c r="AB5" s="164" t="s">
        <v>405</v>
      </c>
      <c r="AC5" s="165">
        <v>6099379380.5555553</v>
      </c>
      <c r="AD5" s="165">
        <v>3</v>
      </c>
    </row>
    <row r="6" spans="1:30" s="176" customFormat="1" ht="30" x14ac:dyDescent="0.2">
      <c r="A6" s="152">
        <f t="shared" si="0"/>
        <v>5</v>
      </c>
      <c r="B6" s="152" t="s">
        <v>406</v>
      </c>
      <c r="C6" s="145" t="s">
        <v>406</v>
      </c>
      <c r="D6" s="174">
        <v>46092</v>
      </c>
      <c r="E6" s="154" t="s">
        <v>407</v>
      </c>
      <c r="F6" s="152" t="s">
        <v>40</v>
      </c>
      <c r="G6" s="152" t="s">
        <v>40</v>
      </c>
      <c r="H6" s="152" t="s">
        <v>51</v>
      </c>
      <c r="I6" s="155">
        <f>+J6/1.08</f>
        <v>433423825</v>
      </c>
      <c r="J6" s="156">
        <v>468097731</v>
      </c>
      <c r="K6" s="146"/>
      <c r="L6" s="157" t="s">
        <v>170</v>
      </c>
      <c r="M6" s="152" t="str">
        <f>VLOOKUP(L6,'DROPDOWNDATA-NOFILL'!$A:$B,2,FALSE)</f>
        <v>BU 3</v>
      </c>
      <c r="N6" s="152" t="s">
        <v>34</v>
      </c>
      <c r="O6" s="146"/>
      <c r="P6" s="146"/>
      <c r="Q6" s="146"/>
      <c r="R6" s="146"/>
      <c r="S6" s="158">
        <f>YEAR(D6)</f>
        <v>2026</v>
      </c>
      <c r="T6" s="158">
        <f>MONTH(D6)</f>
        <v>3</v>
      </c>
      <c r="U6" s="158">
        <f>DAY(D6)</f>
        <v>11</v>
      </c>
      <c r="V6" s="158" t="str">
        <f>"W"&amp;WEEKNUM(D6)-WEEKNUM(EOMONTH(D6,-1)+1)+1</f>
        <v>W2</v>
      </c>
      <c r="W6" s="173" t="str">
        <f t="shared" si="1"/>
        <v>Quý I</v>
      </c>
      <c r="X6" s="161" t="s">
        <v>52</v>
      </c>
      <c r="Y6" s="146">
        <v>2025</v>
      </c>
      <c r="AA6" s="164">
        <v>2026</v>
      </c>
      <c r="AB6" s="164"/>
      <c r="AC6" s="165">
        <v>1416940844.4444444</v>
      </c>
      <c r="AD6" s="165">
        <v>7</v>
      </c>
    </row>
    <row r="7" spans="1:30" s="176" customFormat="1" x14ac:dyDescent="0.2">
      <c r="A7" s="152">
        <f t="shared" si="0"/>
        <v>6</v>
      </c>
      <c r="B7" s="7" t="str">
        <f>LEFT(C7,12)</f>
        <v>29B2C2601014</v>
      </c>
      <c r="C7" s="82" t="s">
        <v>154</v>
      </c>
      <c r="D7" s="174">
        <v>46092</v>
      </c>
      <c r="E7" s="12" t="s">
        <v>155</v>
      </c>
      <c r="F7" s="12" t="s">
        <v>40</v>
      </c>
      <c r="G7" s="7" t="s">
        <v>40</v>
      </c>
      <c r="H7" s="7" t="s">
        <v>51</v>
      </c>
      <c r="I7" s="35">
        <f>+J7/1.08</f>
        <v>53205178.703703701</v>
      </c>
      <c r="J7" s="70">
        <v>57461593</v>
      </c>
      <c r="K7" s="70"/>
      <c r="L7" s="13" t="s">
        <v>153</v>
      </c>
      <c r="M7" s="152" t="str">
        <f>VLOOKUP(L7,'DROPDOWNDATA-NOFILL'!$A:$B,2,FALSE)</f>
        <v>BU 2</v>
      </c>
      <c r="N7" s="152" t="s">
        <v>34</v>
      </c>
      <c r="O7" s="146"/>
      <c r="P7" s="146"/>
      <c r="Q7" s="146"/>
      <c r="R7" s="146"/>
      <c r="S7" s="158">
        <f t="shared" ref="S7:S8" si="2">YEAR(D7)</f>
        <v>2026</v>
      </c>
      <c r="T7" s="158">
        <f t="shared" ref="T7:T8" si="3">MONTH(D7)</f>
        <v>3</v>
      </c>
      <c r="U7" s="158">
        <f t="shared" ref="U7:U8" si="4">DAY(D7)</f>
        <v>11</v>
      </c>
      <c r="V7" s="158" t="str">
        <f t="shared" ref="V7:V8" si="5">"W"&amp;WEEKNUM(D7)-WEEKNUM(EOMONTH(D7,-1)+1)+1</f>
        <v>W2</v>
      </c>
      <c r="W7" s="173" t="str">
        <f t="shared" si="1"/>
        <v>Quý I</v>
      </c>
      <c r="X7" s="161" t="s">
        <v>52</v>
      </c>
      <c r="Y7" s="7">
        <v>2026</v>
      </c>
      <c r="AA7" s="164"/>
      <c r="AB7" s="164" t="s">
        <v>402</v>
      </c>
      <c r="AC7" s="165">
        <v>698665977.77777779</v>
      </c>
      <c r="AD7" s="165">
        <v>3</v>
      </c>
    </row>
    <row r="8" spans="1:30" s="176" customFormat="1" x14ac:dyDescent="0.2">
      <c r="A8" s="152">
        <f t="shared" si="0"/>
        <v>7</v>
      </c>
      <c r="B8" s="7" t="str">
        <f>LEFT(C8,12)</f>
        <v>30B2C2601006</v>
      </c>
      <c r="C8" s="82" t="s">
        <v>66</v>
      </c>
      <c r="D8" s="174">
        <v>46092</v>
      </c>
      <c r="E8" s="12" t="s">
        <v>67</v>
      </c>
      <c r="F8" s="12" t="s">
        <v>40</v>
      </c>
      <c r="G8" s="7" t="s">
        <v>40</v>
      </c>
      <c r="H8" s="7" t="s">
        <v>51</v>
      </c>
      <c r="I8" s="35">
        <f>+J8/1.08</f>
        <v>233418491.66666666</v>
      </c>
      <c r="J8" s="70">
        <v>252091971</v>
      </c>
      <c r="K8" s="70"/>
      <c r="L8" s="13" t="s">
        <v>63</v>
      </c>
      <c r="M8" s="152" t="str">
        <f>VLOOKUP(L8,'DROPDOWNDATA-NOFILL'!$A:$B,2,FALSE)</f>
        <v>BU 3</v>
      </c>
      <c r="N8" s="152" t="s">
        <v>34</v>
      </c>
      <c r="O8" s="146"/>
      <c r="P8" s="146"/>
      <c r="Q8" s="146"/>
      <c r="R8" s="146"/>
      <c r="S8" s="158">
        <f t="shared" si="2"/>
        <v>2026</v>
      </c>
      <c r="T8" s="158">
        <f t="shared" si="3"/>
        <v>3</v>
      </c>
      <c r="U8" s="158">
        <f t="shared" si="4"/>
        <v>11</v>
      </c>
      <c r="V8" s="158" t="str">
        <f t="shared" si="5"/>
        <v>W2</v>
      </c>
      <c r="W8" s="173" t="str">
        <f t="shared" si="1"/>
        <v>Quý I</v>
      </c>
      <c r="X8" s="161" t="s">
        <v>52</v>
      </c>
      <c r="Y8" s="7">
        <v>2026</v>
      </c>
      <c r="AA8" s="164"/>
      <c r="AB8" s="164" t="s">
        <v>403</v>
      </c>
      <c r="AC8" s="165">
        <v>116006937.03703703</v>
      </c>
      <c r="AD8" s="165">
        <v>2</v>
      </c>
    </row>
    <row r="9" spans="1:30" s="176" customFormat="1" x14ac:dyDescent="0.2">
      <c r="A9" s="152">
        <f t="shared" si="0"/>
        <v>8</v>
      </c>
      <c r="B9" s="146" t="s">
        <v>408</v>
      </c>
      <c r="C9" s="146" t="s">
        <v>119</v>
      </c>
      <c r="D9" s="174">
        <v>46101</v>
      </c>
      <c r="E9" s="146" t="s">
        <v>209</v>
      </c>
      <c r="F9" s="146" t="s">
        <v>79</v>
      </c>
      <c r="G9" s="146" t="s">
        <v>79</v>
      </c>
      <c r="H9" s="7" t="s">
        <v>51</v>
      </c>
      <c r="I9" s="35">
        <f>+J9/1.08</f>
        <v>5555555555.5555553</v>
      </c>
      <c r="J9" s="70">
        <v>6000000000</v>
      </c>
      <c r="K9" s="146"/>
      <c r="L9" s="146" t="s">
        <v>210</v>
      </c>
      <c r="M9" s="152" t="str">
        <f>VLOOKUP(L9,'DROPDOWNDATA-NOFILL'!$A:$B,2,FALSE)</f>
        <v>BU 3</v>
      </c>
      <c r="N9" s="152" t="s">
        <v>34</v>
      </c>
      <c r="O9" s="146"/>
      <c r="P9" s="146"/>
      <c r="Q9" s="146"/>
      <c r="R9" s="146"/>
      <c r="S9" s="158">
        <f t="shared" ref="S9" si="6">YEAR(D9)</f>
        <v>2026</v>
      </c>
      <c r="T9" s="158">
        <f t="shared" ref="T9" si="7">MONTH(D9)</f>
        <v>3</v>
      </c>
      <c r="U9" s="158">
        <f t="shared" ref="U9" si="8">DAY(D9)</f>
        <v>20</v>
      </c>
      <c r="V9" s="158" t="str">
        <f t="shared" ref="V9:V10" si="9">"W"&amp;WEEKNUM(D9)-WEEKNUM(EOMONTH(D9,-1)+1)+1</f>
        <v>W3</v>
      </c>
      <c r="W9" s="173" t="str">
        <f t="shared" si="1"/>
        <v>Quý I</v>
      </c>
      <c r="X9" s="161" t="s">
        <v>52</v>
      </c>
      <c r="Y9" s="146">
        <v>2025</v>
      </c>
      <c r="AA9" s="164"/>
      <c r="AB9" s="164" t="s">
        <v>405</v>
      </c>
      <c r="AC9" s="165">
        <v>602267929.62962961</v>
      </c>
      <c r="AD9" s="165">
        <v>2</v>
      </c>
    </row>
    <row r="10" spans="1:30" s="176" customFormat="1" ht="30" x14ac:dyDescent="0.2">
      <c r="A10" s="152">
        <f t="shared" si="0"/>
        <v>9</v>
      </c>
      <c r="B10" s="146" t="s">
        <v>409</v>
      </c>
      <c r="C10" s="146" t="s">
        <v>409</v>
      </c>
      <c r="D10" s="174">
        <v>46102</v>
      </c>
      <c r="E10" s="288" t="s">
        <v>150</v>
      </c>
      <c r="F10" s="146" t="s">
        <v>40</v>
      </c>
      <c r="G10" s="146" t="s">
        <v>40</v>
      </c>
      <c r="H10" s="146" t="s">
        <v>51</v>
      </c>
      <c r="I10" s="35">
        <v>73240740.740740731</v>
      </c>
      <c r="J10" s="70">
        <v>79100000</v>
      </c>
      <c r="K10" s="146"/>
      <c r="L10" s="146" t="s">
        <v>42</v>
      </c>
      <c r="M10" s="146" t="s">
        <v>402</v>
      </c>
      <c r="N10" s="146" t="s">
        <v>60</v>
      </c>
      <c r="O10" s="146" t="s">
        <v>44</v>
      </c>
      <c r="P10" s="146" t="s">
        <v>45</v>
      </c>
      <c r="Q10" s="146" t="s">
        <v>65</v>
      </c>
      <c r="R10" s="146">
        <v>46024</v>
      </c>
      <c r="S10" s="158">
        <f>YEAR(D10)</f>
        <v>2026</v>
      </c>
      <c r="T10" s="158">
        <f t="shared" ref="T10" si="10">MONTH(D10)</f>
        <v>3</v>
      </c>
      <c r="U10" s="158">
        <f t="shared" ref="U10" si="11">DAY(D10)</f>
        <v>21</v>
      </c>
      <c r="V10" s="158" t="str">
        <f t="shared" si="9"/>
        <v>W3</v>
      </c>
      <c r="W10" s="173" t="str">
        <f t="shared" si="1"/>
        <v>Quý I</v>
      </c>
      <c r="X10" s="289" t="s">
        <v>52</v>
      </c>
      <c r="Y10" s="146">
        <v>2026</v>
      </c>
      <c r="AA10" s="164" t="s">
        <v>410</v>
      </c>
      <c r="AB10" s="164"/>
      <c r="AC10" s="165">
        <v>11516041780.518517</v>
      </c>
      <c r="AD10" s="165">
        <v>12</v>
      </c>
    </row>
    <row r="11" spans="1:30" s="176" customFormat="1" x14ac:dyDescent="0.2">
      <c r="A11" s="152">
        <f t="shared" si="0"/>
        <v>10</v>
      </c>
      <c r="B11" s="146" t="s">
        <v>411</v>
      </c>
      <c r="C11" s="146" t="s">
        <v>411</v>
      </c>
      <c r="D11" s="174">
        <v>46111</v>
      </c>
      <c r="E11" s="146" t="s">
        <v>412</v>
      </c>
      <c r="F11" s="146" t="s">
        <v>317</v>
      </c>
      <c r="G11" s="146" t="s">
        <v>317</v>
      </c>
      <c r="H11" s="146" t="s">
        <v>41</v>
      </c>
      <c r="I11" s="35">
        <f>+J11/1.08</f>
        <v>110400000</v>
      </c>
      <c r="J11" s="70">
        <v>119232000</v>
      </c>
      <c r="K11" s="146"/>
      <c r="L11" s="146" t="s">
        <v>170</v>
      </c>
      <c r="M11" s="146" t="s">
        <v>405</v>
      </c>
      <c r="N11" s="146"/>
      <c r="O11" s="146"/>
      <c r="P11" s="146"/>
      <c r="Q11" s="146"/>
      <c r="R11" s="146"/>
      <c r="S11" s="158">
        <f>YEAR(D11)</f>
        <v>2026</v>
      </c>
      <c r="T11" s="158">
        <f>MONTH(D11)</f>
        <v>3</v>
      </c>
      <c r="U11" s="158">
        <f>DAY(D11)</f>
        <v>30</v>
      </c>
      <c r="V11" s="158" t="str">
        <f>"W"&amp;WEEKNUM(D11)-WEEKNUM(EOMONTH(D11,-1)+1)+1</f>
        <v>W5</v>
      </c>
      <c r="W11" s="173" t="str">
        <f>"Quý "&amp;ROMAN(ROUNDUP(T11/3,0))</f>
        <v>Quý I</v>
      </c>
      <c r="X11" s="289" t="s">
        <v>52</v>
      </c>
      <c r="Y11" s="146">
        <v>2025</v>
      </c>
      <c r="AA11" s="237"/>
      <c r="AB11" s="237"/>
      <c r="AC11" s="237"/>
      <c r="AD11" s="237"/>
    </row>
    <row r="12" spans="1:30" s="176" customFormat="1" x14ac:dyDescent="0.2">
      <c r="A12" s="152">
        <f t="shared" si="0"/>
        <v>11</v>
      </c>
      <c r="B12" s="146" t="s">
        <v>413</v>
      </c>
      <c r="C12" s="146" t="s">
        <v>413</v>
      </c>
      <c r="D12" s="174">
        <v>46122</v>
      </c>
      <c r="E12" s="146" t="s">
        <v>167</v>
      </c>
      <c r="F12" s="146" t="s">
        <v>165</v>
      </c>
      <c r="G12" s="146" t="s">
        <v>165</v>
      </c>
      <c r="H12" s="146" t="s">
        <v>51</v>
      </c>
      <c r="I12" s="35">
        <f>+J12/1.08</f>
        <v>62801758.333333328</v>
      </c>
      <c r="J12" s="70">
        <v>67825899</v>
      </c>
      <c r="K12" s="146"/>
      <c r="L12" s="244" t="s">
        <v>153</v>
      </c>
      <c r="M12" s="152" t="str">
        <f>VLOOKUP(L12,'DROPDOWNDATA-NOFILL'!$A:$B,2,FALSE)</f>
        <v>BU 2</v>
      </c>
      <c r="N12" s="146"/>
      <c r="O12" s="146"/>
      <c r="P12" s="146"/>
      <c r="Q12" s="146"/>
      <c r="R12" s="146"/>
      <c r="S12" s="158">
        <f>YEAR(D12)</f>
        <v>2026</v>
      </c>
      <c r="T12" s="158">
        <f>MONTH(D12)</f>
        <v>4</v>
      </c>
      <c r="U12" s="158">
        <f>DAY(D12)</f>
        <v>10</v>
      </c>
      <c r="V12" s="158" t="str">
        <f>"W"&amp;WEEKNUM(D12)-WEEKNUM(EOMONTH(D12,-1)+1)+1</f>
        <v>W2</v>
      </c>
      <c r="W12" s="173" t="str">
        <f>"Quý "&amp;ROMAN(ROUNDUP(T12/3,0))</f>
        <v>Quý II</v>
      </c>
      <c r="X12" s="289" t="s">
        <v>52</v>
      </c>
      <c r="Y12" s="146">
        <v>2026</v>
      </c>
      <c r="AA12" s="237"/>
      <c r="AB12" s="237"/>
      <c r="AC12" s="237"/>
      <c r="AD12" s="237"/>
    </row>
    <row r="13" spans="1:30" s="176" customFormat="1" ht="15" customHeight="1" x14ac:dyDescent="0.2">
      <c r="A13" s="152">
        <f t="shared" si="0"/>
        <v>12</v>
      </c>
      <c r="B13" s="146" t="s">
        <v>414</v>
      </c>
      <c r="C13" s="146" t="s">
        <v>129</v>
      </c>
      <c r="D13" s="174">
        <v>46158</v>
      </c>
      <c r="E13" s="146" t="s">
        <v>128</v>
      </c>
      <c r="F13" s="146" t="s">
        <v>40</v>
      </c>
      <c r="G13" s="146" t="s">
        <v>40</v>
      </c>
      <c r="H13" s="146" t="s">
        <v>51</v>
      </c>
      <c r="I13" s="35">
        <v>368849437.96296293</v>
      </c>
      <c r="J13" s="70">
        <v>398357393</v>
      </c>
      <c r="K13" s="146"/>
      <c r="L13" s="146" t="s">
        <v>130</v>
      </c>
      <c r="M13" s="146" t="s">
        <v>405</v>
      </c>
      <c r="N13" s="7" t="s">
        <v>43</v>
      </c>
      <c r="O13" s="7" t="s">
        <v>44</v>
      </c>
      <c r="P13" s="7" t="s">
        <v>45</v>
      </c>
      <c r="Q13" s="7" t="s">
        <v>65</v>
      </c>
      <c r="R13" s="31">
        <v>46027</v>
      </c>
      <c r="S13" s="158">
        <f>YEAR(D13)</f>
        <v>2026</v>
      </c>
      <c r="T13" s="158">
        <f>MONTH(D13)</f>
        <v>5</v>
      </c>
      <c r="U13" s="158">
        <f>DAY(D13)</f>
        <v>16</v>
      </c>
      <c r="V13" s="158" t="s">
        <v>309</v>
      </c>
      <c r="W13" s="173" t="str">
        <f>"Quý "&amp;ROMAN(ROUNDUP(T13/3,0))</f>
        <v>Quý II</v>
      </c>
      <c r="X13" s="289" t="s">
        <v>52</v>
      </c>
      <c r="Y13" s="146">
        <v>2026</v>
      </c>
      <c r="AA13"/>
      <c r="AB13"/>
      <c r="AC13"/>
    </row>
    <row r="14" spans="1:30" s="176" customFormat="1" x14ac:dyDescent="0.2">
      <c r="A14" s="152">
        <f t="shared" si="0"/>
        <v>13</v>
      </c>
      <c r="B14" s="146"/>
      <c r="C14" s="146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289"/>
      <c r="X14" s="289"/>
      <c r="Y14" s="146"/>
      <c r="AA14"/>
      <c r="AB14"/>
      <c r="AC14"/>
      <c r="AD14" s="237"/>
    </row>
    <row r="15" spans="1:30" x14ac:dyDescent="0.25">
      <c r="A15" s="94"/>
      <c r="B15" s="94"/>
      <c r="C15" s="94"/>
      <c r="D15" s="94"/>
      <c r="E15" s="94"/>
      <c r="F15" s="94"/>
      <c r="G15" s="94"/>
      <c r="H15" s="94"/>
      <c r="I15" s="184"/>
      <c r="J15" s="94"/>
      <c r="K15" s="94"/>
      <c r="L15" s="146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162"/>
      <c r="X15" s="162"/>
      <c r="Y15" s="94"/>
      <c r="AA15"/>
      <c r="AB15"/>
      <c r="AC15"/>
      <c r="AD15"/>
    </row>
    <row r="16" spans="1:30" x14ac:dyDescent="0.25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146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162"/>
      <c r="X16" s="162"/>
      <c r="Y16" s="94"/>
      <c r="AA16"/>
      <c r="AB16"/>
      <c r="AC16"/>
      <c r="AD16"/>
    </row>
    <row r="17" spans="1:30" x14ac:dyDescent="0.25">
      <c r="A17" s="94"/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146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162"/>
      <c r="X17" s="162"/>
      <c r="Y17" s="94"/>
      <c r="AA17"/>
      <c r="AB17"/>
      <c r="AC17"/>
      <c r="AD17"/>
    </row>
    <row r="18" spans="1:30" x14ac:dyDescent="0.25">
      <c r="A18" s="94"/>
      <c r="B18" s="94"/>
      <c r="C18" s="94"/>
      <c r="D18" s="94"/>
      <c r="E18" s="94"/>
      <c r="F18" s="94"/>
      <c r="G18" s="94"/>
      <c r="H18" s="94"/>
      <c r="I18" s="94"/>
      <c r="J18" s="94"/>
      <c r="K18" s="94"/>
      <c r="L18" s="146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162"/>
      <c r="X18" s="162"/>
      <c r="Y18" s="94"/>
      <c r="AA18"/>
      <c r="AB18"/>
      <c r="AC18"/>
      <c r="AD18"/>
    </row>
    <row r="19" spans="1:30" x14ac:dyDescent="0.25">
      <c r="A19" s="94"/>
      <c r="B19" s="94"/>
      <c r="C19" s="94"/>
      <c r="D19" s="94"/>
      <c r="E19" s="94"/>
      <c r="F19" s="94"/>
      <c r="G19" s="94"/>
      <c r="H19" s="94"/>
      <c r="I19" s="94"/>
      <c r="J19" s="94"/>
      <c r="K19" s="94"/>
      <c r="L19" s="146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162"/>
      <c r="X19" s="162"/>
      <c r="Y19" s="94"/>
      <c r="AA19"/>
      <c r="AB19"/>
      <c r="AC19"/>
      <c r="AD19"/>
    </row>
    <row r="20" spans="1:30" x14ac:dyDescent="0.25">
      <c r="A20" s="94"/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146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162"/>
      <c r="X20" s="162"/>
      <c r="Y20" s="94"/>
      <c r="AA20"/>
      <c r="AB20"/>
      <c r="AC20"/>
      <c r="AD20"/>
    </row>
    <row r="21" spans="1:30" x14ac:dyDescent="0.25">
      <c r="A21" s="94"/>
      <c r="B21" s="94"/>
      <c r="C21" s="94"/>
      <c r="D21" s="94"/>
      <c r="E21" s="94"/>
      <c r="F21" s="94"/>
      <c r="G21" s="94"/>
      <c r="H21" s="94"/>
      <c r="I21" s="94"/>
      <c r="J21" s="94"/>
      <c r="K21" s="94"/>
      <c r="L21" s="146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162"/>
      <c r="X21" s="162"/>
      <c r="Y21" s="94"/>
      <c r="AA21"/>
      <c r="AB21"/>
      <c r="AC21"/>
      <c r="AD21"/>
    </row>
    <row r="22" spans="1:30" x14ac:dyDescent="0.25">
      <c r="A22" s="94"/>
      <c r="B22" s="94"/>
      <c r="C22" s="94"/>
      <c r="D22" s="94"/>
      <c r="E22" s="94"/>
      <c r="F22" s="94"/>
      <c r="G22" s="94"/>
      <c r="H22" s="94"/>
      <c r="I22" s="94"/>
      <c r="J22" s="94"/>
      <c r="K22" s="94"/>
      <c r="L22" s="146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162"/>
      <c r="X22" s="162"/>
      <c r="Y22" s="94"/>
      <c r="AA22"/>
      <c r="AB22"/>
      <c r="AC22"/>
      <c r="AD22"/>
    </row>
    <row r="23" spans="1:30" x14ac:dyDescent="0.25">
      <c r="A23" s="94"/>
      <c r="B23" s="94"/>
      <c r="C23" s="94"/>
      <c r="D23" s="94"/>
      <c r="E23" s="94"/>
      <c r="F23" s="94"/>
      <c r="G23" s="94"/>
      <c r="H23" s="94"/>
      <c r="I23" s="94"/>
      <c r="J23" s="94"/>
      <c r="K23" s="94"/>
      <c r="L23" s="146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162"/>
      <c r="X23" s="162"/>
      <c r="Y23" s="94"/>
    </row>
    <row r="24" spans="1:30" x14ac:dyDescent="0.25">
      <c r="A24" s="94"/>
      <c r="B24" s="94"/>
      <c r="C24" s="94"/>
      <c r="D24" s="94"/>
      <c r="E24" s="94"/>
      <c r="F24" s="94"/>
      <c r="G24" s="94"/>
      <c r="H24" s="94"/>
      <c r="I24" s="94"/>
      <c r="J24" s="94"/>
      <c r="K24" s="94"/>
      <c r="L24" s="146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162"/>
      <c r="X24" s="162"/>
      <c r="Y24" s="94"/>
    </row>
    <row r="25" spans="1:30" x14ac:dyDescent="0.25">
      <c r="A25" s="94"/>
      <c r="B25" s="94"/>
      <c r="C25" s="94"/>
      <c r="D25" s="94"/>
      <c r="E25" s="94"/>
      <c r="F25" s="94"/>
      <c r="G25" s="94"/>
      <c r="H25" s="94"/>
      <c r="I25" s="94"/>
      <c r="J25" s="94"/>
      <c r="K25" s="94"/>
      <c r="L25" s="146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162"/>
      <c r="X25" s="162"/>
      <c r="Y25" s="94"/>
    </row>
    <row r="26" spans="1:30" x14ac:dyDescent="0.25">
      <c r="A26" s="94"/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146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162"/>
      <c r="X26" s="162"/>
      <c r="Y26" s="94"/>
    </row>
    <row r="27" spans="1:30" x14ac:dyDescent="0.25">
      <c r="A27" s="94"/>
      <c r="B27" s="94"/>
      <c r="C27" s="94"/>
      <c r="D27" s="94"/>
      <c r="E27" s="94"/>
      <c r="F27" s="94"/>
      <c r="G27" s="94"/>
      <c r="H27" s="94"/>
      <c r="I27" s="94"/>
      <c r="J27" s="94"/>
      <c r="K27" s="94"/>
      <c r="L27" s="146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162"/>
      <c r="X27" s="162"/>
      <c r="Y27" s="94"/>
    </row>
    <row r="28" spans="1:30" x14ac:dyDescent="0.25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146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162"/>
      <c r="X28" s="162"/>
      <c r="Y28" s="94"/>
    </row>
    <row r="29" spans="1:30" x14ac:dyDescent="0.25">
      <c r="A29" s="94"/>
      <c r="B29" s="94"/>
      <c r="C29" s="94"/>
      <c r="D29" s="94"/>
      <c r="E29" s="94"/>
      <c r="F29" s="94"/>
      <c r="G29" s="94"/>
      <c r="H29" s="94"/>
      <c r="I29" s="94"/>
      <c r="J29" s="94"/>
      <c r="K29" s="94"/>
      <c r="L29" s="146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162"/>
      <c r="X29" s="162"/>
      <c r="Y29" s="94"/>
    </row>
    <row r="30" spans="1:30" x14ac:dyDescent="0.25">
      <c r="A30" s="94"/>
      <c r="B30" s="94"/>
      <c r="C30" s="94"/>
      <c r="D30" s="94"/>
      <c r="E30" s="94"/>
      <c r="F30" s="94"/>
      <c r="G30" s="94"/>
      <c r="H30" s="94"/>
      <c r="I30" s="94"/>
      <c r="J30" s="94"/>
      <c r="K30" s="94"/>
      <c r="L30" s="146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162"/>
      <c r="X30" s="162"/>
      <c r="Y30" s="94"/>
    </row>
    <row r="31" spans="1:30" x14ac:dyDescent="0.25">
      <c r="A31" s="94"/>
      <c r="B31" s="94"/>
      <c r="C31" s="94"/>
      <c r="D31" s="94"/>
      <c r="E31" s="94"/>
      <c r="F31" s="94"/>
      <c r="G31" s="94"/>
      <c r="H31" s="94"/>
      <c r="I31" s="94"/>
      <c r="J31" s="94"/>
      <c r="K31" s="94"/>
      <c r="L31" s="146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162"/>
      <c r="X31" s="162"/>
      <c r="Y31" s="94"/>
    </row>
    <row r="32" spans="1:30" x14ac:dyDescent="0.25">
      <c r="A32" s="94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146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162"/>
      <c r="X32" s="162"/>
      <c r="Y32" s="94"/>
    </row>
    <row r="33" spans="1:25" x14ac:dyDescent="0.25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146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162"/>
      <c r="X33" s="162"/>
      <c r="Y33" s="94"/>
    </row>
    <row r="34" spans="1:25" x14ac:dyDescent="0.25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146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162"/>
      <c r="X34" s="162"/>
      <c r="Y34" s="94"/>
    </row>
    <row r="35" spans="1:25" x14ac:dyDescent="0.25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146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162"/>
      <c r="X35" s="162"/>
      <c r="Y35" s="94"/>
    </row>
    <row r="36" spans="1:25" x14ac:dyDescent="0.25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146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162"/>
      <c r="X36" s="162"/>
      <c r="Y36" s="94"/>
    </row>
    <row r="37" spans="1:25" x14ac:dyDescent="0.25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146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162"/>
      <c r="X37" s="162"/>
      <c r="Y37" s="94"/>
    </row>
    <row r="38" spans="1:25" x14ac:dyDescent="0.25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146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162"/>
      <c r="X38" s="162"/>
      <c r="Y38" s="94"/>
    </row>
    <row r="39" spans="1:25" x14ac:dyDescent="0.25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146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162"/>
      <c r="X39" s="162"/>
      <c r="Y39" s="94"/>
    </row>
    <row r="40" spans="1:25" x14ac:dyDescent="0.25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146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162"/>
      <c r="X40" s="162"/>
      <c r="Y40" s="94"/>
    </row>
    <row r="41" spans="1:25" x14ac:dyDescent="0.25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146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162"/>
      <c r="X41" s="162"/>
      <c r="Y41" s="94"/>
    </row>
    <row r="42" spans="1:25" x14ac:dyDescent="0.25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146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162"/>
      <c r="X42" s="162"/>
      <c r="Y42" s="94"/>
    </row>
    <row r="43" spans="1:25" x14ac:dyDescent="0.25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146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162"/>
      <c r="X43" s="162"/>
      <c r="Y43" s="94"/>
    </row>
    <row r="44" spans="1:25" x14ac:dyDescent="0.25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146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162"/>
      <c r="X44" s="162"/>
      <c r="Y44" s="94"/>
    </row>
    <row r="45" spans="1:25" x14ac:dyDescent="0.25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146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162"/>
      <c r="X45" s="162"/>
      <c r="Y45" s="94"/>
    </row>
    <row r="46" spans="1:25" x14ac:dyDescent="0.25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146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162"/>
      <c r="X46" s="162"/>
      <c r="Y46" s="94"/>
    </row>
    <row r="47" spans="1:25" x14ac:dyDescent="0.25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146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162"/>
      <c r="X47" s="162"/>
      <c r="Y47" s="94"/>
    </row>
    <row r="48" spans="1:25" x14ac:dyDescent="0.25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146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162"/>
      <c r="X48" s="162"/>
      <c r="Y48" s="94"/>
    </row>
    <row r="49" spans="1:25" x14ac:dyDescent="0.25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146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162"/>
      <c r="X49" s="162"/>
      <c r="Y49" s="94"/>
    </row>
    <row r="50" spans="1:25" x14ac:dyDescent="0.25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146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162"/>
      <c r="X50" s="162"/>
      <c r="Y50" s="94"/>
    </row>
    <row r="51" spans="1:25" x14ac:dyDescent="0.25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146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162"/>
      <c r="X51" s="162"/>
      <c r="Y51" s="94"/>
    </row>
    <row r="52" spans="1:25" x14ac:dyDescent="0.25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146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162"/>
      <c r="X52" s="162"/>
      <c r="Y52" s="94"/>
    </row>
    <row r="53" spans="1:25" x14ac:dyDescent="0.25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146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162"/>
      <c r="X53" s="162"/>
      <c r="Y53" s="94"/>
    </row>
    <row r="54" spans="1:25" x14ac:dyDescent="0.25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146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162"/>
      <c r="X54" s="162"/>
      <c r="Y54" s="94"/>
    </row>
    <row r="55" spans="1:25" x14ac:dyDescent="0.25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146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162"/>
      <c r="X55" s="162"/>
      <c r="Y55" s="94"/>
    </row>
    <row r="56" spans="1:25" x14ac:dyDescent="0.25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146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162"/>
      <c r="X56" s="162"/>
      <c r="Y56" s="94"/>
    </row>
    <row r="57" spans="1:25" x14ac:dyDescent="0.25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146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162"/>
      <c r="X57" s="162"/>
      <c r="Y57" s="94"/>
    </row>
    <row r="58" spans="1:25" x14ac:dyDescent="0.25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146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162"/>
      <c r="X58" s="162"/>
      <c r="Y58" s="94"/>
    </row>
    <row r="59" spans="1:25" x14ac:dyDescent="0.25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146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162"/>
      <c r="X59" s="162"/>
      <c r="Y59" s="94"/>
    </row>
    <row r="60" spans="1:25" x14ac:dyDescent="0.25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146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162"/>
      <c r="X60" s="162"/>
      <c r="Y60" s="94"/>
    </row>
    <row r="61" spans="1:25" x14ac:dyDescent="0.25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146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162"/>
      <c r="X61" s="162"/>
      <c r="Y61" s="94"/>
    </row>
    <row r="62" spans="1:25" x14ac:dyDescent="0.25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146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162"/>
      <c r="X62" s="162"/>
      <c r="Y62" s="94"/>
    </row>
    <row r="63" spans="1:25" x14ac:dyDescent="0.25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146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162"/>
      <c r="X63" s="162"/>
      <c r="Y63" s="94"/>
    </row>
    <row r="64" spans="1:25" x14ac:dyDescent="0.25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146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162"/>
      <c r="X64" s="162"/>
      <c r="Y64" s="94"/>
    </row>
    <row r="65" spans="1:25" x14ac:dyDescent="0.25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146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162"/>
      <c r="X65" s="162"/>
      <c r="Y65" s="94"/>
    </row>
    <row r="66" spans="1:25" x14ac:dyDescent="0.25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146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162"/>
      <c r="X66" s="162"/>
      <c r="Y66" s="94"/>
    </row>
    <row r="67" spans="1:25" x14ac:dyDescent="0.25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146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162"/>
      <c r="X67" s="162"/>
      <c r="Y67" s="94"/>
    </row>
    <row r="68" spans="1:25" x14ac:dyDescent="0.25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146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162"/>
      <c r="X68" s="162"/>
      <c r="Y68" s="94"/>
    </row>
    <row r="69" spans="1:25" x14ac:dyDescent="0.25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146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162"/>
      <c r="X69" s="162"/>
      <c r="Y69" s="94"/>
    </row>
    <row r="70" spans="1:25" x14ac:dyDescent="0.25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146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162"/>
      <c r="X70" s="162"/>
      <c r="Y70" s="94"/>
    </row>
    <row r="71" spans="1:25" x14ac:dyDescent="0.25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146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162"/>
      <c r="X71" s="162"/>
      <c r="Y71" s="94"/>
    </row>
    <row r="72" spans="1:25" x14ac:dyDescent="0.25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146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162"/>
      <c r="X72" s="162"/>
      <c r="Y72" s="94"/>
    </row>
    <row r="73" spans="1:25" x14ac:dyDescent="0.25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146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162"/>
      <c r="X73" s="162"/>
      <c r="Y73" s="94"/>
    </row>
    <row r="74" spans="1:25" x14ac:dyDescent="0.25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146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162"/>
      <c r="X74" s="162"/>
      <c r="Y74" s="94"/>
    </row>
    <row r="75" spans="1:25" x14ac:dyDescent="0.25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146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162"/>
      <c r="X75" s="162"/>
      <c r="Y75" s="94"/>
    </row>
    <row r="76" spans="1:25" x14ac:dyDescent="0.25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146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162"/>
      <c r="X76" s="162"/>
      <c r="Y76" s="94"/>
    </row>
    <row r="77" spans="1:25" x14ac:dyDescent="0.25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146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162"/>
      <c r="X77" s="162"/>
      <c r="Y77" s="94"/>
    </row>
    <row r="78" spans="1:25" x14ac:dyDescent="0.25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146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</row>
    <row r="79" spans="1:25" x14ac:dyDescent="0.25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146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</row>
    <row r="80" spans="1:25" x14ac:dyDescent="0.25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146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</row>
    <row r="81" spans="1:24" x14ac:dyDescent="0.25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146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</row>
    <row r="82" spans="1:24" x14ac:dyDescent="0.25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146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</row>
    <row r="83" spans="1:24" x14ac:dyDescent="0.25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146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</row>
    <row r="84" spans="1:24" x14ac:dyDescent="0.25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146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</row>
    <row r="85" spans="1:24" x14ac:dyDescent="0.25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146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</row>
    <row r="86" spans="1:24" x14ac:dyDescent="0.25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146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</row>
    <row r="87" spans="1:24" x14ac:dyDescent="0.25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146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</row>
    <row r="88" spans="1:24" x14ac:dyDescent="0.25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146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</row>
    <row r="89" spans="1:24" x14ac:dyDescent="0.25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146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</row>
    <row r="90" spans="1:24" x14ac:dyDescent="0.25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146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</row>
    <row r="91" spans="1:24" x14ac:dyDescent="0.25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146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</row>
    <row r="92" spans="1:24" x14ac:dyDescent="0.25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146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</row>
    <row r="93" spans="1:24" x14ac:dyDescent="0.25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146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</row>
    <row r="94" spans="1:24" x14ac:dyDescent="0.25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146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</row>
    <row r="95" spans="1:24" x14ac:dyDescent="0.25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146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</row>
    <row r="96" spans="1:24" x14ac:dyDescent="0.25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146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</row>
    <row r="97" spans="1:24" x14ac:dyDescent="0.25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146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</row>
    <row r="98" spans="1:24" x14ac:dyDescent="0.25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146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</row>
    <row r="99" spans="1:24" x14ac:dyDescent="0.25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146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</row>
    <row r="100" spans="1:24" x14ac:dyDescent="0.25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146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</row>
    <row r="101" spans="1:24" x14ac:dyDescent="0.25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146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</row>
    <row r="102" spans="1:24" x14ac:dyDescent="0.25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146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</row>
    <row r="103" spans="1:24" x14ac:dyDescent="0.25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146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</row>
    <row r="104" spans="1:24" x14ac:dyDescent="0.25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146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</row>
    <row r="105" spans="1:24" x14ac:dyDescent="0.25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146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</row>
    <row r="106" spans="1:24" x14ac:dyDescent="0.25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146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</row>
    <row r="107" spans="1:24" x14ac:dyDescent="0.25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146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</row>
    <row r="108" spans="1:24" x14ac:dyDescent="0.25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146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</row>
    <row r="109" spans="1:24" x14ac:dyDescent="0.25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146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</row>
    <row r="110" spans="1:24" x14ac:dyDescent="0.25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146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</row>
    <row r="111" spans="1:24" x14ac:dyDescent="0.25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146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</row>
    <row r="112" spans="1:24" x14ac:dyDescent="0.25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146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</row>
    <row r="113" spans="1:24" x14ac:dyDescent="0.25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146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</row>
    <row r="114" spans="1:24" x14ac:dyDescent="0.25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146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</row>
    <row r="115" spans="1:24" x14ac:dyDescent="0.25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146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</row>
    <row r="116" spans="1:24" x14ac:dyDescent="0.25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146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</row>
    <row r="117" spans="1:24" x14ac:dyDescent="0.25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146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</row>
    <row r="118" spans="1:24" x14ac:dyDescent="0.25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146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</row>
    <row r="119" spans="1:24" x14ac:dyDescent="0.25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146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</row>
    <row r="120" spans="1:24" x14ac:dyDescent="0.25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146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</row>
    <row r="121" spans="1:24" x14ac:dyDescent="0.25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146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</row>
    <row r="122" spans="1:24" x14ac:dyDescent="0.25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146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</row>
    <row r="123" spans="1:24" x14ac:dyDescent="0.25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146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</row>
    <row r="124" spans="1:24" x14ac:dyDescent="0.25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146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</row>
    <row r="125" spans="1:24" x14ac:dyDescent="0.25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46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</row>
  </sheetData>
  <sheetProtection sort="0" pivotTables="0"/>
  <autoFilter ref="A1:Y14" xr:uid="{B09B8147-A4FE-4E19-9847-535EA9BAC8A3}">
    <sortState xmlns:xlrd2="http://schemas.microsoft.com/office/spreadsheetml/2017/richdata2" ref="A2:Y6">
      <sortCondition ref="D1:D3"/>
    </sortState>
  </autoFilter>
  <conditionalFormatting sqref="A1:B1">
    <cfRule type="duplicateValues" dxfId="437" priority="7"/>
  </conditionalFormatting>
  <conditionalFormatting sqref="C1:C3">
    <cfRule type="duplicateValues" dxfId="436" priority="496"/>
  </conditionalFormatting>
  <conditionalFormatting sqref="B1:B4">
    <cfRule type="duplicateValues" dxfId="435" priority="497"/>
  </conditionalFormatting>
  <conditionalFormatting sqref="C4">
    <cfRule type="duplicateValues" dxfId="434" priority="5"/>
  </conditionalFormatting>
  <conditionalFormatting sqref="C7">
    <cfRule type="duplicateValues" dxfId="433" priority="4"/>
  </conditionalFormatting>
  <conditionalFormatting sqref="B7">
    <cfRule type="duplicateValues" dxfId="432" priority="3"/>
  </conditionalFormatting>
  <conditionalFormatting sqref="C8">
    <cfRule type="duplicateValues" dxfId="431" priority="2"/>
  </conditionalFormatting>
  <conditionalFormatting sqref="B8">
    <cfRule type="duplicateValues" dxfId="430" priority="498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4A0B1-E523-4221-A6AE-84BABE8D4F94}">
  <dimension ref="A1:R48"/>
  <sheetViews>
    <sheetView workbookViewId="0">
      <selection activeCell="J32" sqref="J32"/>
    </sheetView>
  </sheetViews>
  <sheetFormatPr defaultColWidth="9.125" defaultRowHeight="15" x14ac:dyDescent="0.25"/>
  <cols>
    <col min="1" max="1" width="10" style="89" customWidth="1"/>
    <col min="2" max="2" width="9.125" style="89"/>
    <col min="3" max="3" width="22.125" style="89" customWidth="1"/>
    <col min="4" max="4" width="14.75" style="89" customWidth="1"/>
    <col min="5" max="5" width="11.375" style="89" customWidth="1"/>
    <col min="6" max="6" width="16" style="90" customWidth="1"/>
    <col min="7" max="7" width="9.875" style="89" customWidth="1"/>
    <col min="8" max="9" width="16.375" style="89" customWidth="1"/>
    <col min="10" max="10" width="13.125" style="89" customWidth="1"/>
    <col min="11" max="11" width="12.75" style="89" customWidth="1"/>
    <col min="12" max="12" width="16.375" style="89" customWidth="1"/>
    <col min="13" max="13" width="13.875" style="89" customWidth="1"/>
    <col min="14" max="15" width="17.25" style="89" customWidth="1"/>
    <col min="16" max="16" width="13.875" style="89" customWidth="1"/>
    <col min="17" max="17" width="16.125" style="89" customWidth="1"/>
    <col min="18" max="16384" width="9.125" style="89"/>
  </cols>
  <sheetData>
    <row r="1" spans="1:18" x14ac:dyDescent="0.25">
      <c r="N1" s="87">
        <f>200000000-O28</f>
        <v>152000000</v>
      </c>
      <c r="O1" s="87"/>
    </row>
    <row r="2" spans="1:18" s="103" customFormat="1" ht="35.25" customHeight="1" x14ac:dyDescent="0.2">
      <c r="A2" s="101" t="s">
        <v>415</v>
      </c>
      <c r="B2" s="101" t="s">
        <v>416</v>
      </c>
      <c r="C2" s="101" t="s">
        <v>417</v>
      </c>
      <c r="D2" s="101" t="s">
        <v>418</v>
      </c>
      <c r="E2" s="101" t="s">
        <v>419</v>
      </c>
      <c r="F2" s="102" t="s">
        <v>420</v>
      </c>
      <c r="G2" s="101" t="s">
        <v>421</v>
      </c>
      <c r="H2" s="105" t="s">
        <v>422</v>
      </c>
      <c r="I2" s="105" t="s">
        <v>423</v>
      </c>
      <c r="J2" s="105" t="s">
        <v>424</v>
      </c>
      <c r="K2" s="105" t="s">
        <v>425</v>
      </c>
      <c r="L2" s="110" t="s">
        <v>426</v>
      </c>
      <c r="M2" s="113" t="s">
        <v>427</v>
      </c>
      <c r="N2" s="356" t="s">
        <v>428</v>
      </c>
      <c r="O2" s="356"/>
      <c r="P2" s="356"/>
      <c r="Q2" s="110" t="s">
        <v>429</v>
      </c>
    </row>
    <row r="3" spans="1:18" s="103" customFormat="1" ht="35.25" customHeight="1" x14ac:dyDescent="0.2">
      <c r="A3" s="101"/>
      <c r="B3" s="101"/>
      <c r="C3" s="101"/>
      <c r="D3" s="107" t="s">
        <v>430</v>
      </c>
      <c r="E3" s="107" t="s">
        <v>431</v>
      </c>
      <c r="F3" s="107" t="s">
        <v>432</v>
      </c>
      <c r="G3" s="107" t="s">
        <v>433</v>
      </c>
      <c r="H3" s="109" t="s">
        <v>434</v>
      </c>
      <c r="I3" s="109" t="s">
        <v>435</v>
      </c>
      <c r="J3" s="109" t="s">
        <v>436</v>
      </c>
      <c r="K3" s="108" t="s">
        <v>437</v>
      </c>
      <c r="L3" s="111" t="s">
        <v>438</v>
      </c>
      <c r="M3" s="114"/>
      <c r="N3" s="107" t="s">
        <v>439</v>
      </c>
      <c r="O3" s="107" t="s">
        <v>440</v>
      </c>
      <c r="P3" s="107" t="s">
        <v>441</v>
      </c>
      <c r="Q3" s="111"/>
    </row>
    <row r="4" spans="1:18" x14ac:dyDescent="0.25">
      <c r="A4" s="94">
        <v>1</v>
      </c>
      <c r="B4" s="95" t="s">
        <v>442</v>
      </c>
      <c r="C4" s="95" t="s">
        <v>443</v>
      </c>
      <c r="D4" s="95">
        <v>54</v>
      </c>
      <c r="E4" s="95">
        <f>COUNTIFS('Data Doanh số'!$P:$P,MKT!C4,'Data Doanh số'!$X:$X,A4,'Data Doanh số'!$AB:$AB,"MKT")</f>
        <v>0</v>
      </c>
      <c r="F4" s="96">
        <f>SUMIFS('Data Doanh số'!$J:$J,'Data Doanh số'!$P:$P,MKT!C4,'Data Doanh số'!$X:$X,MKT!A4,'Data Doanh số'!$AB:$AB,"MKT")</f>
        <v>0</v>
      </c>
      <c r="G4" s="95">
        <v>9</v>
      </c>
      <c r="H4" s="104">
        <f>E4/D4</f>
        <v>0</v>
      </c>
      <c r="I4" s="104">
        <f>F4/$F$28</f>
        <v>0</v>
      </c>
      <c r="J4" s="104">
        <f>100%-G4*5%</f>
        <v>0.55000000000000004</v>
      </c>
      <c r="K4" s="106">
        <v>1</v>
      </c>
      <c r="L4" s="112">
        <f>(H4/$H$28*50%+F4/$F$28*50%)*K4*J4*100</f>
        <v>0</v>
      </c>
      <c r="M4" s="115">
        <f>L4/$L$28</f>
        <v>0</v>
      </c>
      <c r="N4" s="96">
        <f t="shared" ref="N4:N6" si="0">M4*$N$1</f>
        <v>0</v>
      </c>
      <c r="O4" s="96">
        <f>IF(M4&lt;30%,3000000,0)</f>
        <v>3000000</v>
      </c>
      <c r="P4" s="96">
        <f>SUM(N4:O4)</f>
        <v>3000000</v>
      </c>
      <c r="Q4" s="112">
        <f>P4/500000</f>
        <v>6</v>
      </c>
    </row>
    <row r="5" spans="1:18" x14ac:dyDescent="0.25">
      <c r="A5" s="94">
        <v>1</v>
      </c>
      <c r="B5" s="95" t="s">
        <v>442</v>
      </c>
      <c r="C5" s="95" t="s">
        <v>33</v>
      </c>
      <c r="D5" s="95">
        <v>3</v>
      </c>
      <c r="E5" s="95">
        <f>COUNTIFS('Data Doanh số'!$P:$P,MKT!C5,'Data Doanh số'!$X:$X,A5,'Data Doanh số'!$AB:$AB,"MKT")</f>
        <v>0</v>
      </c>
      <c r="F5" s="96">
        <f>SUMIFS('Data Doanh số'!$J:$J,'Data Doanh số'!$P:$P,MKT!C5,'Data Doanh số'!$X:$X,MKT!A5,'Data Doanh số'!$AB:$AB,"MKT")</f>
        <v>0</v>
      </c>
      <c r="G5" s="95">
        <v>16</v>
      </c>
      <c r="H5" s="104">
        <f>E5/D5</f>
        <v>0</v>
      </c>
      <c r="I5" s="104">
        <f t="shared" ref="I5:I27" si="1">F5/$F$28</f>
        <v>0</v>
      </c>
      <c r="J5" s="104">
        <f>100%-G5*5%</f>
        <v>0.19999999999999996</v>
      </c>
      <c r="K5" s="106">
        <v>1</v>
      </c>
      <c r="L5" s="112">
        <f>(H5/$H$28*50%+F5/$F$28*50%)*K5*J5*100</f>
        <v>0</v>
      </c>
      <c r="M5" s="115">
        <f t="shared" ref="M5:M26" si="2">L5/$L$28</f>
        <v>0</v>
      </c>
      <c r="N5" s="96">
        <f t="shared" si="0"/>
        <v>0</v>
      </c>
      <c r="O5" s="96">
        <f t="shared" ref="O5:O6" si="3">IF(M5&lt;30%,3000000,0)</f>
        <v>3000000</v>
      </c>
      <c r="P5" s="96">
        <f t="shared" ref="P5:P26" si="4">SUM(N5:O5)</f>
        <v>3000000</v>
      </c>
      <c r="Q5" s="112">
        <f t="shared" ref="Q5:Q6" si="5">P5/500000</f>
        <v>6</v>
      </c>
    </row>
    <row r="6" spans="1:18" x14ac:dyDescent="0.25">
      <c r="A6" s="94">
        <v>1</v>
      </c>
      <c r="B6" s="95" t="s">
        <v>442</v>
      </c>
      <c r="C6" s="95" t="s">
        <v>126</v>
      </c>
      <c r="D6" s="95">
        <v>13</v>
      </c>
      <c r="E6" s="95">
        <v>0</v>
      </c>
      <c r="F6" s="96"/>
      <c r="G6" s="95">
        <v>0</v>
      </c>
      <c r="H6" s="104">
        <f>E6/D6</f>
        <v>0</v>
      </c>
      <c r="I6" s="104">
        <f t="shared" si="1"/>
        <v>0</v>
      </c>
      <c r="J6" s="104">
        <f>100%-G6*5%</f>
        <v>1</v>
      </c>
      <c r="K6" s="106">
        <v>0.5</v>
      </c>
      <c r="L6" s="112">
        <f>(H6/$H$28*50%+F6/$F$28*50%)*K6*J6*100</f>
        <v>0</v>
      </c>
      <c r="M6" s="115">
        <f t="shared" si="2"/>
        <v>0</v>
      </c>
      <c r="N6" s="96">
        <f t="shared" si="0"/>
        <v>0</v>
      </c>
      <c r="O6" s="96">
        <f t="shared" si="3"/>
        <v>3000000</v>
      </c>
      <c r="P6" s="96">
        <f t="shared" si="4"/>
        <v>3000000</v>
      </c>
      <c r="Q6" s="112">
        <f t="shared" si="5"/>
        <v>6</v>
      </c>
    </row>
    <row r="7" spans="1:18" s="91" customFormat="1" ht="14.25" x14ac:dyDescent="0.2">
      <c r="A7" s="97"/>
      <c r="B7" s="358" t="s">
        <v>444</v>
      </c>
      <c r="C7" s="358"/>
      <c r="D7" s="117">
        <f>SUBTOTAL(9,D4:D6)</f>
        <v>70</v>
      </c>
      <c r="E7" s="117">
        <f>SUBTOTAL(9,E4:E6)</f>
        <v>0</v>
      </c>
      <c r="F7" s="117">
        <f>SUBTOTAL(9,F4:F6)</f>
        <v>0</v>
      </c>
      <c r="G7" s="117">
        <f>SUBTOTAL(9,G4:G6)</f>
        <v>25</v>
      </c>
      <c r="H7" s="118">
        <f>E7/D7</f>
        <v>0</v>
      </c>
      <c r="I7" s="118">
        <f t="shared" si="1"/>
        <v>0</v>
      </c>
      <c r="J7" s="117"/>
      <c r="K7" s="117"/>
      <c r="L7" s="119">
        <f>SUBTOTAL(9,L4:L6)</f>
        <v>0</v>
      </c>
      <c r="M7" s="120">
        <f>L7/$L$28</f>
        <v>0</v>
      </c>
      <c r="N7" s="121">
        <f>SUBTOTAL(9,N4:N6)</f>
        <v>0</v>
      </c>
      <c r="O7" s="121">
        <f t="shared" ref="O7:Q7" si="6">SUBTOTAL(9,O4:O6)</f>
        <v>9000000</v>
      </c>
      <c r="P7" s="121">
        <f t="shared" si="6"/>
        <v>9000000</v>
      </c>
      <c r="Q7" s="119">
        <f t="shared" si="6"/>
        <v>18</v>
      </c>
    </row>
    <row r="8" spans="1:18" x14ac:dyDescent="0.25">
      <c r="A8" s="94">
        <v>1</v>
      </c>
      <c r="B8" s="95" t="s">
        <v>402</v>
      </c>
      <c r="C8" s="95" t="s">
        <v>345</v>
      </c>
      <c r="D8" s="95">
        <v>0</v>
      </c>
      <c r="E8" s="95">
        <f>COUNTIFS('Data Doanh số'!$P:$P,MKT!C8,'Data Doanh số'!$X:$X,A8,'Data Doanh số'!$AB:$AB,"MKT")</f>
        <v>0</v>
      </c>
      <c r="F8" s="96">
        <f>SUMIFS('Data Doanh số'!$J:$J,'Data Doanh số'!$P:$P,MKT!C8,'Data Doanh số'!$X:$X,MKT!A8,'Data Doanh số'!$AB:$AB,"MKT")</f>
        <v>0</v>
      </c>
      <c r="G8" s="95">
        <v>0</v>
      </c>
      <c r="H8" s="104">
        <v>0</v>
      </c>
      <c r="I8" s="104">
        <f t="shared" si="1"/>
        <v>0</v>
      </c>
      <c r="J8" s="104">
        <f t="shared" ref="J8:J15" si="7">100%-G8*5%</f>
        <v>1</v>
      </c>
      <c r="K8" s="106">
        <v>1</v>
      </c>
      <c r="L8" s="112">
        <f t="shared" ref="L8:L15" si="8">(H8/$H$28*50%+F8/$F$28*50%)*K8*J8*100</f>
        <v>0</v>
      </c>
      <c r="M8" s="115">
        <f t="shared" si="2"/>
        <v>0</v>
      </c>
      <c r="N8" s="96">
        <f t="shared" ref="N8:N26" si="9">M8*$N$1</f>
        <v>0</v>
      </c>
      <c r="O8" s="96"/>
      <c r="P8" s="96">
        <f t="shared" si="4"/>
        <v>0</v>
      </c>
      <c r="Q8" s="112">
        <f t="shared" ref="Q8:Q15" si="10">P8/500000</f>
        <v>0</v>
      </c>
    </row>
    <row r="9" spans="1:18" x14ac:dyDescent="0.25">
      <c r="A9" s="94">
        <v>1</v>
      </c>
      <c r="B9" s="95" t="s">
        <v>402</v>
      </c>
      <c r="C9" s="95" t="s">
        <v>113</v>
      </c>
      <c r="D9" s="95">
        <v>9</v>
      </c>
      <c r="E9" s="95">
        <f>COUNTIFS('Data Doanh số'!$P:$P,MKT!C9,'Data Doanh số'!$X:$X,A9,'Data Doanh số'!$AB:$AB,"MKT")</f>
        <v>1</v>
      </c>
      <c r="F9" s="96">
        <f>SUMIFS('Data Doanh số'!$J:$J,'Data Doanh số'!$P:$P,MKT!C9,'Data Doanh số'!$X:$X,MKT!A9,'Data Doanh số'!$AB:$AB,"MKT")</f>
        <v>10694444.444444444</v>
      </c>
      <c r="G9" s="95">
        <v>3</v>
      </c>
      <c r="H9" s="104">
        <f t="shared" ref="H9:H16" si="11">E9/D9</f>
        <v>0.1111111111111111</v>
      </c>
      <c r="I9" s="104">
        <f t="shared" si="1"/>
        <v>6.3330743545234828E-3</v>
      </c>
      <c r="J9" s="104">
        <f t="shared" si="7"/>
        <v>0.85</v>
      </c>
      <c r="K9" s="106">
        <v>1</v>
      </c>
      <c r="L9" s="112">
        <f t="shared" si="8"/>
        <v>79.872330263241835</v>
      </c>
      <c r="M9" s="115">
        <f t="shared" si="2"/>
        <v>6.8030679631853108E-2</v>
      </c>
      <c r="N9" s="96">
        <f t="shared" si="9"/>
        <v>10340663.304041672</v>
      </c>
      <c r="O9" s="96">
        <f t="shared" ref="O9:O15" si="12">IF(M9&lt;30%,3000000,0)</f>
        <v>3000000</v>
      </c>
      <c r="P9" s="96">
        <f t="shared" si="4"/>
        <v>13340663.304041672</v>
      </c>
      <c r="Q9" s="112">
        <f t="shared" si="10"/>
        <v>26.681326608083346</v>
      </c>
    </row>
    <row r="10" spans="1:18" x14ac:dyDescent="0.25">
      <c r="A10" s="94">
        <v>1</v>
      </c>
      <c r="B10" s="95" t="s">
        <v>402</v>
      </c>
      <c r="C10" s="95" t="s">
        <v>71</v>
      </c>
      <c r="D10" s="95">
        <v>5</v>
      </c>
      <c r="E10" s="95">
        <f>COUNTIFS('Data Doanh số'!$P:$P,MKT!C10,'Data Doanh số'!$X:$X,A10,'Data Doanh số'!$AB:$AB,"MKT")</f>
        <v>2</v>
      </c>
      <c r="F10" s="96">
        <f>SUMIFS('Data Doanh số'!$J:$J,'Data Doanh số'!$P:$P,MKT!C10,'Data Doanh số'!$X:$X,MKT!A10,'Data Doanh số'!$AB:$AB,"MKT")</f>
        <v>193875296</v>
      </c>
      <c r="G10" s="95">
        <v>0</v>
      </c>
      <c r="H10" s="104">
        <f t="shared" si="11"/>
        <v>0.4</v>
      </c>
      <c r="I10" s="104">
        <f t="shared" si="1"/>
        <v>0.11480976608477136</v>
      </c>
      <c r="J10" s="104">
        <f t="shared" si="7"/>
        <v>1</v>
      </c>
      <c r="K10" s="106">
        <v>1</v>
      </c>
      <c r="L10" s="112">
        <f t="shared" si="8"/>
        <v>342.88334544709573</v>
      </c>
      <c r="M10" s="115">
        <f t="shared" si="2"/>
        <v>0.29204840960981143</v>
      </c>
      <c r="N10" s="96">
        <f t="shared" si="9"/>
        <v>44391358.260691337</v>
      </c>
      <c r="O10" s="96">
        <f t="shared" si="12"/>
        <v>3000000</v>
      </c>
      <c r="P10" s="96">
        <f t="shared" si="4"/>
        <v>47391358.260691337</v>
      </c>
      <c r="Q10" s="112">
        <f t="shared" si="10"/>
        <v>94.782716521382682</v>
      </c>
    </row>
    <row r="11" spans="1:18" x14ac:dyDescent="0.25">
      <c r="A11" s="94">
        <v>1</v>
      </c>
      <c r="B11" s="95" t="s">
        <v>402</v>
      </c>
      <c r="C11" s="95" t="s">
        <v>87</v>
      </c>
      <c r="D11" s="95">
        <v>2</v>
      </c>
      <c r="E11" s="95">
        <f>COUNTIFS('Data Doanh số'!$P:$P,MKT!C11,'Data Doanh số'!$X:$X,A11,'Data Doanh số'!$AB:$AB,"MKT")</f>
        <v>1</v>
      </c>
      <c r="F11" s="96">
        <f>SUMIFS('Data Doanh số'!$J:$J,'Data Doanh số'!$P:$P,MKT!C11,'Data Doanh số'!$X:$X,MKT!A11,'Data Doanh số'!$AB:$AB,"MKT")</f>
        <v>328703000</v>
      </c>
      <c r="G11" s="95">
        <v>0</v>
      </c>
      <c r="H11" s="104">
        <f t="shared" si="11"/>
        <v>0.5</v>
      </c>
      <c r="I11" s="104">
        <f t="shared" si="1"/>
        <v>0.19465251798435732</v>
      </c>
      <c r="J11" s="104">
        <f t="shared" si="7"/>
        <v>1</v>
      </c>
      <c r="K11" s="106">
        <v>1</v>
      </c>
      <c r="L11" s="112">
        <f t="shared" si="8"/>
        <v>431.1611973277893</v>
      </c>
      <c r="M11" s="115">
        <f t="shared" si="2"/>
        <v>0.36723843148710589</v>
      </c>
      <c r="N11" s="96">
        <f t="shared" si="9"/>
        <v>55820241.586040094</v>
      </c>
      <c r="O11" s="96">
        <f>IF(M11&lt;30%,3000000,0)</f>
        <v>0</v>
      </c>
      <c r="P11" s="96">
        <f t="shared" si="4"/>
        <v>55820241.586040094</v>
      </c>
      <c r="Q11" s="112">
        <f t="shared" si="10"/>
        <v>111.6404831720802</v>
      </c>
    </row>
    <row r="12" spans="1:18" x14ac:dyDescent="0.25">
      <c r="A12" s="94">
        <v>1</v>
      </c>
      <c r="B12" s="95" t="s">
        <v>402</v>
      </c>
      <c r="C12" s="95" t="s">
        <v>42</v>
      </c>
      <c r="D12" s="95">
        <v>18</v>
      </c>
      <c r="E12" s="95">
        <f>COUNTIFS('Data Doanh số'!$P:$P,MKT!C12,'Data Doanh số'!$X:$X,A12,'Data Doanh số'!$AB:$AB,"MKT")</f>
        <v>2</v>
      </c>
      <c r="F12" s="96">
        <f>SUMIFS('Data Doanh số'!$J:$J,'Data Doanh số'!$P:$P,MKT!C12,'Data Doanh số'!$X:$X,MKT!A12,'Data Doanh số'!$AB:$AB,"MKT")</f>
        <v>217185185.07407406</v>
      </c>
      <c r="G12" s="95">
        <v>0</v>
      </c>
      <c r="H12" s="104">
        <f t="shared" si="11"/>
        <v>0.1111111111111111</v>
      </c>
      <c r="I12" s="104">
        <f t="shared" si="1"/>
        <v>0.12861349955299214</v>
      </c>
      <c r="J12" s="104">
        <f t="shared" si="7"/>
        <v>1</v>
      </c>
      <c r="K12" s="106">
        <v>0.5</v>
      </c>
      <c r="L12" s="112">
        <f t="shared" si="8"/>
        <v>50.040734314221623</v>
      </c>
      <c r="M12" s="115">
        <f t="shared" si="2"/>
        <v>4.2621833536765984E-2</v>
      </c>
      <c r="N12" s="96">
        <f t="shared" si="9"/>
        <v>6478518.6975884298</v>
      </c>
      <c r="O12" s="96">
        <f t="shared" si="12"/>
        <v>3000000</v>
      </c>
      <c r="P12" s="96">
        <f t="shared" si="4"/>
        <v>9478518.6975884289</v>
      </c>
      <c r="Q12" s="112">
        <f t="shared" si="10"/>
        <v>18.957037395176858</v>
      </c>
    </row>
    <row r="13" spans="1:18" x14ac:dyDescent="0.25">
      <c r="A13" s="94">
        <v>1</v>
      </c>
      <c r="B13" s="95" t="s">
        <v>402</v>
      </c>
      <c r="C13" s="95" t="s">
        <v>105</v>
      </c>
      <c r="D13" s="95">
        <v>15</v>
      </c>
      <c r="E13" s="95">
        <f>COUNTIFS('Data Doanh số'!$P:$P,MKT!C13,'Data Doanh số'!$X:$X,A13,'Data Doanh số'!$AB:$AB,"MKT")</f>
        <v>2</v>
      </c>
      <c r="F13" s="96">
        <f>SUMIFS('Data Doanh số'!$J:$J,'Data Doanh số'!$P:$P,MKT!C13,'Data Doanh số'!$X:$X,MKT!A13,'Data Doanh số'!$AB:$AB,"MKT")</f>
        <v>444545607.40740734</v>
      </c>
      <c r="G13" s="95">
        <v>0</v>
      </c>
      <c r="H13" s="104">
        <f t="shared" si="11"/>
        <v>0.13333333333333333</v>
      </c>
      <c r="I13" s="104">
        <f t="shared" si="1"/>
        <v>0.26325260749289603</v>
      </c>
      <c r="J13" s="104">
        <f t="shared" si="7"/>
        <v>1</v>
      </c>
      <c r="K13" s="106">
        <v>0.5</v>
      </c>
      <c r="L13" s="112">
        <f t="shared" si="8"/>
        <v>62.771791377798593</v>
      </c>
      <c r="M13" s="115">
        <f t="shared" si="2"/>
        <v>5.3465419314375831E-2</v>
      </c>
      <c r="N13" s="96">
        <f t="shared" si="9"/>
        <v>8126743.7357851267</v>
      </c>
      <c r="O13" s="96">
        <f t="shared" si="12"/>
        <v>3000000</v>
      </c>
      <c r="P13" s="96">
        <f t="shared" si="4"/>
        <v>11126743.735785127</v>
      </c>
      <c r="Q13" s="112">
        <f t="shared" si="10"/>
        <v>22.253487471570253</v>
      </c>
    </row>
    <row r="14" spans="1:18" x14ac:dyDescent="0.25">
      <c r="A14" s="94">
        <v>1</v>
      </c>
      <c r="B14" s="95" t="s">
        <v>402</v>
      </c>
      <c r="C14" s="95" t="s">
        <v>83</v>
      </c>
      <c r="D14" s="95">
        <v>14</v>
      </c>
      <c r="E14" s="95">
        <f>COUNTIFS('Data Doanh số'!$P:$P,MKT!C14,'Data Doanh số'!$X:$X,A14,'Data Doanh số'!$AB:$AB,"MKT")</f>
        <v>0</v>
      </c>
      <c r="F14" s="96">
        <f>SUMIFS('Data Doanh số'!$J:$J,'Data Doanh số'!$P:$P,MKT!C14,'Data Doanh số'!$X:$X,MKT!A14,'Data Doanh số'!$AB:$AB,"MKT")</f>
        <v>0</v>
      </c>
      <c r="G14" s="95">
        <v>2</v>
      </c>
      <c r="H14" s="104">
        <f t="shared" si="11"/>
        <v>0</v>
      </c>
      <c r="I14" s="104">
        <f t="shared" si="1"/>
        <v>0</v>
      </c>
      <c r="J14" s="104">
        <f t="shared" si="7"/>
        <v>0.9</v>
      </c>
      <c r="K14" s="106">
        <v>1</v>
      </c>
      <c r="L14" s="112">
        <f t="shared" si="8"/>
        <v>0</v>
      </c>
      <c r="M14" s="115">
        <f t="shared" si="2"/>
        <v>0</v>
      </c>
      <c r="N14" s="96">
        <f t="shared" si="9"/>
        <v>0</v>
      </c>
      <c r="O14" s="96">
        <f t="shared" si="12"/>
        <v>3000000</v>
      </c>
      <c r="P14" s="96">
        <f t="shared" si="4"/>
        <v>3000000</v>
      </c>
      <c r="Q14" s="112">
        <f t="shared" si="10"/>
        <v>6</v>
      </c>
    </row>
    <row r="15" spans="1:18" x14ac:dyDescent="0.25">
      <c r="A15" s="94">
        <v>1</v>
      </c>
      <c r="B15" s="95" t="s">
        <v>402</v>
      </c>
      <c r="C15" s="95" t="s">
        <v>140</v>
      </c>
      <c r="D15" s="95">
        <v>18</v>
      </c>
      <c r="E15" s="95">
        <f>COUNTIFS('Data Doanh số'!$P:$P,MKT!C15,'Data Doanh số'!$X:$X,A15,'Data Doanh số'!$AB:$AB,"MKT")</f>
        <v>0</v>
      </c>
      <c r="F15" s="96">
        <f>SUMIFS('Data Doanh số'!$J:$J,'Data Doanh số'!$P:$P,MKT!C15,'Data Doanh số'!$X:$X,MKT!A15,'Data Doanh số'!$AB:$AB,"MKT")</f>
        <v>0</v>
      </c>
      <c r="G15" s="95">
        <v>0</v>
      </c>
      <c r="H15" s="104">
        <f t="shared" si="11"/>
        <v>0</v>
      </c>
      <c r="I15" s="104">
        <f t="shared" si="1"/>
        <v>0</v>
      </c>
      <c r="J15" s="104">
        <f t="shared" si="7"/>
        <v>1</v>
      </c>
      <c r="K15" s="106">
        <v>0.5</v>
      </c>
      <c r="L15" s="112">
        <f t="shared" si="8"/>
        <v>0</v>
      </c>
      <c r="M15" s="115">
        <f t="shared" si="2"/>
        <v>0</v>
      </c>
      <c r="N15" s="96">
        <f t="shared" si="9"/>
        <v>0</v>
      </c>
      <c r="O15" s="96">
        <f t="shared" si="12"/>
        <v>3000000</v>
      </c>
      <c r="P15" s="96">
        <f t="shared" si="4"/>
        <v>3000000</v>
      </c>
      <c r="Q15" s="112">
        <f t="shared" si="10"/>
        <v>6</v>
      </c>
    </row>
    <row r="16" spans="1:18" s="91" customFormat="1" ht="14.25" x14ac:dyDescent="0.2">
      <c r="A16" s="97"/>
      <c r="B16" s="358" t="s">
        <v>444</v>
      </c>
      <c r="C16" s="358"/>
      <c r="D16" s="117">
        <f>SUBTOTAL(9,D8:D15)</f>
        <v>81</v>
      </c>
      <c r="E16" s="117">
        <f>SUBTOTAL(9,E8:E15)</f>
        <v>8</v>
      </c>
      <c r="F16" s="121">
        <f>SUBTOTAL(9,F8:F15)</f>
        <v>1195003532.9259257</v>
      </c>
      <c r="G16" s="121">
        <f>SUBTOTAL(9,G8:G15)</f>
        <v>5</v>
      </c>
      <c r="H16" s="118">
        <f t="shared" si="11"/>
        <v>9.8765432098765427E-2</v>
      </c>
      <c r="I16" s="118">
        <f t="shared" si="1"/>
        <v>0.70766146546954023</v>
      </c>
      <c r="J16" s="121"/>
      <c r="K16" s="117"/>
      <c r="L16" s="122">
        <f>SUBTOTAL(9,L8:L15)</f>
        <v>966.72939873014707</v>
      </c>
      <c r="M16" s="120">
        <f>L16/$L$28</f>
        <v>0.82340477357991226</v>
      </c>
      <c r="N16" s="121">
        <f t="shared" ref="N16:Q16" si="13">SUBTOTAL(9,N8:N15)</f>
        <v>125157525.58414666</v>
      </c>
      <c r="O16" s="121">
        <f t="shared" si="13"/>
        <v>18000000</v>
      </c>
      <c r="P16" s="121">
        <f t="shared" si="13"/>
        <v>143157525.58414668</v>
      </c>
      <c r="Q16" s="122">
        <f t="shared" si="13"/>
        <v>286.31505116829334</v>
      </c>
      <c r="R16" s="92"/>
    </row>
    <row r="17" spans="1:17" x14ac:dyDescent="0.25">
      <c r="A17" s="94">
        <v>1</v>
      </c>
      <c r="B17" s="95" t="s">
        <v>403</v>
      </c>
      <c r="C17" s="95" t="s">
        <v>445</v>
      </c>
      <c r="D17" s="95">
        <v>0</v>
      </c>
      <c r="E17" s="95">
        <f>COUNTIFS('Data Doanh số'!$P:$P,MKT!C17,'Data Doanh số'!$X:$X,A17,'Data Doanh số'!$AB:$AB,"MKT")</f>
        <v>0</v>
      </c>
      <c r="F17" s="96">
        <f>SUMIFS('Data Doanh số'!$J:$J,'Data Doanh số'!$P:$P,MKT!C17,'Data Doanh số'!$X:$X,MKT!A17,'Data Doanh số'!$AB:$AB,"MKT")</f>
        <v>0</v>
      </c>
      <c r="G17" s="95">
        <v>4</v>
      </c>
      <c r="H17" s="104">
        <v>0</v>
      </c>
      <c r="I17" s="104">
        <f t="shared" si="1"/>
        <v>0</v>
      </c>
      <c r="J17" s="104">
        <f>100%-G17*5%</f>
        <v>0.8</v>
      </c>
      <c r="K17" s="106">
        <v>1</v>
      </c>
      <c r="L17" s="112">
        <f>(H17/$H$28*50%+F17/$F$28*50%)*K17*J17*100</f>
        <v>0</v>
      </c>
      <c r="M17" s="115">
        <f t="shared" si="2"/>
        <v>0</v>
      </c>
      <c r="N17" s="96">
        <f t="shared" si="9"/>
        <v>0</v>
      </c>
      <c r="O17" s="96"/>
      <c r="P17" s="96">
        <f t="shared" si="4"/>
        <v>0</v>
      </c>
      <c r="Q17" s="112">
        <f t="shared" ref="Q17:Q20" si="14">P17/500000</f>
        <v>0</v>
      </c>
    </row>
    <row r="18" spans="1:17" x14ac:dyDescent="0.25">
      <c r="A18" s="94">
        <v>1</v>
      </c>
      <c r="B18" s="95" t="s">
        <v>403</v>
      </c>
      <c r="C18" s="95" t="s">
        <v>153</v>
      </c>
      <c r="D18" s="95">
        <v>19</v>
      </c>
      <c r="E18" s="95">
        <f>COUNTIFS('Data Doanh số'!$P:$P,MKT!C18,'Data Doanh số'!$X:$X,A18,'Data Doanh số'!$AB:$AB,"MKT")</f>
        <v>0</v>
      </c>
      <c r="F18" s="96">
        <f>SUMIFS('Data Doanh số'!$J:$J,'Data Doanh số'!$P:$P,MKT!C18,'Data Doanh số'!$X:$X,MKT!A18,'Data Doanh số'!$AB:$AB,"MKT")</f>
        <v>0</v>
      </c>
      <c r="G18" s="95">
        <v>1</v>
      </c>
      <c r="H18" s="104">
        <f>E18/D18</f>
        <v>0</v>
      </c>
      <c r="I18" s="104">
        <f t="shared" si="1"/>
        <v>0</v>
      </c>
      <c r="J18" s="104">
        <f>100%-G18*5%</f>
        <v>0.95</v>
      </c>
      <c r="K18" s="106">
        <v>1</v>
      </c>
      <c r="L18" s="112">
        <f>(H18/$H$28*50%+F18/$F$28*50%)*K18*J18*100</f>
        <v>0</v>
      </c>
      <c r="M18" s="115">
        <f t="shared" si="2"/>
        <v>0</v>
      </c>
      <c r="N18" s="96">
        <f t="shared" si="9"/>
        <v>0</v>
      </c>
      <c r="O18" s="96">
        <f t="shared" ref="O18:O20" si="15">IF(M18&lt;30%,3000000,0)</f>
        <v>3000000</v>
      </c>
      <c r="P18" s="96">
        <f t="shared" si="4"/>
        <v>3000000</v>
      </c>
      <c r="Q18" s="112">
        <f t="shared" si="14"/>
        <v>6</v>
      </c>
    </row>
    <row r="19" spans="1:17" x14ac:dyDescent="0.25">
      <c r="A19" s="94">
        <v>1</v>
      </c>
      <c r="B19" s="95" t="s">
        <v>403</v>
      </c>
      <c r="C19" s="95" t="s">
        <v>55</v>
      </c>
      <c r="D19" s="95">
        <v>11</v>
      </c>
      <c r="E19" s="95">
        <f>COUNTIFS('Data Doanh số'!$P:$P,MKT!C19,'Data Doanh số'!$X:$X,A19,'Data Doanh số'!$AB:$AB,"MKT")</f>
        <v>1</v>
      </c>
      <c r="F19" s="96">
        <f>SUMIFS('Data Doanh số'!$J:$J,'Data Doanh số'!$P:$P,MKT!C19,'Data Doanh số'!$X:$X,MKT!A19,'Data Doanh số'!$AB:$AB,"MKT")</f>
        <v>20833333.333333332</v>
      </c>
      <c r="G19" s="95">
        <v>0</v>
      </c>
      <c r="H19" s="104">
        <f>E19/D19</f>
        <v>9.0909090909090912E-2</v>
      </c>
      <c r="I19" s="104">
        <f t="shared" si="1"/>
        <v>1.2337157833487305E-2</v>
      </c>
      <c r="J19" s="104">
        <f>100%-G19*5%</f>
        <v>1</v>
      </c>
      <c r="K19" s="106">
        <v>0.5</v>
      </c>
      <c r="L19" s="112">
        <f>(H19/$H$28*50%+F19/$F$28*50%)*K19*J19*100</f>
        <v>38.620117257525493</v>
      </c>
      <c r="M19" s="115">
        <f t="shared" si="2"/>
        <v>3.2894405557370547E-2</v>
      </c>
      <c r="N19" s="96">
        <f t="shared" si="9"/>
        <v>4999949.6447203234</v>
      </c>
      <c r="O19" s="96">
        <f t="shared" si="15"/>
        <v>3000000</v>
      </c>
      <c r="P19" s="96">
        <f t="shared" si="4"/>
        <v>7999949.6447203234</v>
      </c>
      <c r="Q19" s="112">
        <f t="shared" si="14"/>
        <v>15.999899289440647</v>
      </c>
    </row>
    <row r="20" spans="1:17" x14ac:dyDescent="0.25">
      <c r="A20" s="94">
        <v>1</v>
      </c>
      <c r="B20" s="95" t="s">
        <v>403</v>
      </c>
      <c r="C20" s="95" t="s">
        <v>446</v>
      </c>
      <c r="D20" s="95">
        <v>0</v>
      </c>
      <c r="E20" s="95">
        <f>COUNTIFS('Data Doanh số'!$P:$P,MKT!C20,'Data Doanh số'!$X:$X,A20,'Data Doanh số'!$AB:$AB,"MKT")</f>
        <v>0</v>
      </c>
      <c r="F20" s="96">
        <f>SUMIFS('Data Doanh số'!$J:$J,'Data Doanh số'!$P:$P,MKT!C20,'Data Doanh số'!$X:$X,MKT!A20,'Data Doanh số'!$AB:$AB,"MKT")</f>
        <v>0</v>
      </c>
      <c r="G20" s="95">
        <v>0</v>
      </c>
      <c r="H20" s="104">
        <v>0</v>
      </c>
      <c r="I20" s="104">
        <f t="shared" si="1"/>
        <v>0</v>
      </c>
      <c r="J20" s="104">
        <f>100%-G20*5%</f>
        <v>1</v>
      </c>
      <c r="K20" s="106">
        <v>0.5</v>
      </c>
      <c r="L20" s="112">
        <f>(H20/$H$28*50%+F20/$F$28*50%)*K20*J20*100</f>
        <v>0</v>
      </c>
      <c r="M20" s="115">
        <f t="shared" si="2"/>
        <v>0</v>
      </c>
      <c r="N20" s="96">
        <f t="shared" si="9"/>
        <v>0</v>
      </c>
      <c r="O20" s="96">
        <f t="shared" si="15"/>
        <v>3000000</v>
      </c>
      <c r="P20" s="96">
        <f t="shared" si="4"/>
        <v>3000000</v>
      </c>
      <c r="Q20" s="112">
        <f t="shared" si="14"/>
        <v>6</v>
      </c>
    </row>
    <row r="21" spans="1:17" s="91" customFormat="1" ht="14.25" x14ac:dyDescent="0.2">
      <c r="A21" s="97"/>
      <c r="B21" s="358" t="s">
        <v>444</v>
      </c>
      <c r="C21" s="358"/>
      <c r="D21" s="117">
        <f>SUBTOTAL(9,D17:D20)</f>
        <v>30</v>
      </c>
      <c r="E21" s="117">
        <f>SUBTOTAL(9,E17:E20)</f>
        <v>1</v>
      </c>
      <c r="F21" s="121">
        <f>SUBTOTAL(9,F17:F20)</f>
        <v>20833333.333333332</v>
      </c>
      <c r="G21" s="121">
        <f>SUBTOTAL(9,G17:G20)</f>
        <v>5</v>
      </c>
      <c r="H21" s="118">
        <f>E21/D21</f>
        <v>3.3333333333333333E-2</v>
      </c>
      <c r="I21" s="118">
        <f t="shared" si="1"/>
        <v>1.2337157833487305E-2</v>
      </c>
      <c r="J21" s="121"/>
      <c r="K21" s="117"/>
      <c r="L21" s="119">
        <f>SUBTOTAL(9,L17:L20)</f>
        <v>38.620117257525493</v>
      </c>
      <c r="M21" s="120">
        <f t="shared" ref="M21:Q21" si="16">SUBTOTAL(9,M17:M20)</f>
        <v>3.2894405557370547E-2</v>
      </c>
      <c r="N21" s="121">
        <f t="shared" si="16"/>
        <v>4999949.6447203234</v>
      </c>
      <c r="O21" s="121">
        <f t="shared" si="16"/>
        <v>9000000</v>
      </c>
      <c r="P21" s="121">
        <f t="shared" si="16"/>
        <v>13999949.644720323</v>
      </c>
      <c r="Q21" s="119">
        <f t="shared" si="16"/>
        <v>27.999899289440648</v>
      </c>
    </row>
    <row r="22" spans="1:17" x14ac:dyDescent="0.25">
      <c r="A22" s="94">
        <v>1</v>
      </c>
      <c r="B22" s="95" t="s">
        <v>405</v>
      </c>
      <c r="C22" s="95" t="s">
        <v>210</v>
      </c>
      <c r="D22" s="95">
        <v>0</v>
      </c>
      <c r="E22" s="95">
        <f>COUNTIFS('Data Doanh số'!$P:$P,MKT!C22,'Data Doanh số'!$X:$X,A22,'Data Doanh số'!$AB:$AB,"MKT")</f>
        <v>0</v>
      </c>
      <c r="F22" s="96">
        <f>SUMIFS('Data Doanh số'!$J:$J,'Data Doanh số'!$P:$P,MKT!C22,'Data Doanh số'!$X:$X,MKT!A22,'Data Doanh số'!$AB:$AB,"MKT")</f>
        <v>0</v>
      </c>
      <c r="G22" s="95">
        <v>1</v>
      </c>
      <c r="H22" s="104">
        <v>0</v>
      </c>
      <c r="I22" s="104">
        <f t="shared" si="1"/>
        <v>0</v>
      </c>
      <c r="J22" s="104">
        <f>100%-G22*5%</f>
        <v>0.95</v>
      </c>
      <c r="K22" s="106">
        <v>1</v>
      </c>
      <c r="L22" s="112">
        <f>(H22/$H$28*50%+F22/$F$28*50%)*K22*J22*100</f>
        <v>0</v>
      </c>
      <c r="M22" s="115">
        <f t="shared" si="2"/>
        <v>0</v>
      </c>
      <c r="N22" s="96">
        <f t="shared" si="9"/>
        <v>0</v>
      </c>
      <c r="O22" s="96"/>
      <c r="P22" s="96">
        <f t="shared" si="4"/>
        <v>0</v>
      </c>
      <c r="Q22" s="112">
        <f t="shared" ref="Q22:Q26" si="17">P22/500000</f>
        <v>0</v>
      </c>
    </row>
    <row r="23" spans="1:17" x14ac:dyDescent="0.25">
      <c r="A23" s="94">
        <v>1</v>
      </c>
      <c r="B23" s="95" t="s">
        <v>405</v>
      </c>
      <c r="C23" s="95" t="s">
        <v>59</v>
      </c>
      <c r="D23" s="95">
        <v>16</v>
      </c>
      <c r="E23" s="95">
        <f>COUNTIFS('Data Doanh số'!$P:$P,MKT!C23,'Data Doanh số'!$X:$X,A23,'Data Doanh số'!$AB:$AB,"MKT")</f>
        <v>1</v>
      </c>
      <c r="F23" s="96">
        <f>SUMIFS('Data Doanh số'!$J:$J,'Data Doanh số'!$P:$P,MKT!C23,'Data Doanh số'!$X:$X,MKT!A23,'Data Doanh số'!$AB:$AB,"MKT")</f>
        <v>180833333.33333331</v>
      </c>
      <c r="G23" s="95">
        <v>0</v>
      </c>
      <c r="H23" s="104">
        <f t="shared" ref="H23:H28" si="18">E23/D23</f>
        <v>6.25E-2</v>
      </c>
      <c r="I23" s="104">
        <f t="shared" si="1"/>
        <v>0.10708652999466979</v>
      </c>
      <c r="J23" s="104">
        <f>100%-G23*5%</f>
        <v>1</v>
      </c>
      <c r="K23" s="106">
        <v>0.5</v>
      </c>
      <c r="L23" s="112">
        <f>(H23/$H$28*50%+F23/$F$28*50%)*K23*J23*100</f>
        <v>29.01644896415246</v>
      </c>
      <c r="M23" s="115">
        <f t="shared" si="2"/>
        <v>2.4714550546207532E-2</v>
      </c>
      <c r="N23" s="96">
        <f t="shared" si="9"/>
        <v>3756611.683023545</v>
      </c>
      <c r="O23" s="96">
        <f t="shared" ref="O23:O26" si="19">IF(M23&lt;30%,3000000,0)</f>
        <v>3000000</v>
      </c>
      <c r="P23" s="96">
        <f t="shared" si="4"/>
        <v>6756611.683023545</v>
      </c>
      <c r="Q23" s="112">
        <f t="shared" si="17"/>
        <v>13.51322336604709</v>
      </c>
    </row>
    <row r="24" spans="1:17" x14ac:dyDescent="0.25">
      <c r="A24" s="94">
        <v>1</v>
      </c>
      <c r="B24" s="95" t="s">
        <v>405</v>
      </c>
      <c r="C24" s="95" t="s">
        <v>92</v>
      </c>
      <c r="D24" s="95">
        <v>14</v>
      </c>
      <c r="E24" s="95">
        <f>COUNTIFS('Data Doanh số'!$P:$P,MKT!C24,'Data Doanh số'!$X:$X,A24,'Data Doanh số'!$AB:$AB,"MKT")</f>
        <v>2</v>
      </c>
      <c r="F24" s="96">
        <f>SUMIFS('Data Doanh số'!$J:$J,'Data Doanh số'!$P:$P,MKT!C24,'Data Doanh số'!$X:$X,MKT!A24,'Data Doanh số'!$AB:$AB,"MKT")</f>
        <v>44979629.629629627</v>
      </c>
      <c r="G24" s="95">
        <v>0</v>
      </c>
      <c r="H24" s="104">
        <f t="shared" si="18"/>
        <v>0.14285714285714285</v>
      </c>
      <c r="I24" s="104">
        <f t="shared" si="1"/>
        <v>2.6636197921562056E-2</v>
      </c>
      <c r="J24" s="104">
        <f>100%-G24*5%</f>
        <v>1</v>
      </c>
      <c r="K24" s="106">
        <v>0.5</v>
      </c>
      <c r="L24" s="112">
        <f>(H24/$H$28*50%+F24/$F$28*50%)*K24*J24*100</f>
        <v>60.869986580692114</v>
      </c>
      <c r="M24" s="115">
        <f t="shared" si="2"/>
        <v>5.1845570833082492E-2</v>
      </c>
      <c r="N24" s="96">
        <f t="shared" si="9"/>
        <v>7880526.7666285392</v>
      </c>
      <c r="O24" s="96">
        <f t="shared" si="19"/>
        <v>3000000</v>
      </c>
      <c r="P24" s="96">
        <f t="shared" si="4"/>
        <v>10880526.766628539</v>
      </c>
      <c r="Q24" s="112">
        <f t="shared" si="17"/>
        <v>21.76105353325708</v>
      </c>
    </row>
    <row r="25" spans="1:17" x14ac:dyDescent="0.25">
      <c r="A25" s="94">
        <v>1</v>
      </c>
      <c r="B25" s="95" t="s">
        <v>405</v>
      </c>
      <c r="C25" s="95" t="s">
        <v>170</v>
      </c>
      <c r="D25" s="95">
        <v>4</v>
      </c>
      <c r="E25" s="95">
        <f>COUNTIFS('Data Doanh số'!$P:$P,MKT!C25,'Data Doanh số'!$X:$X,A25,'Data Doanh số'!$AB:$AB,"MKT")</f>
        <v>0</v>
      </c>
      <c r="F25" s="96">
        <f>SUMIFS('Data Doanh số'!$J:$J,'Data Doanh số'!$P:$P,MKT!C25,'Data Doanh số'!$X:$X,MKT!A25,'Data Doanh số'!$AB:$AB,"MKT")</f>
        <v>0</v>
      </c>
      <c r="G25" s="95">
        <v>3</v>
      </c>
      <c r="H25" s="104">
        <f t="shared" si="18"/>
        <v>0</v>
      </c>
      <c r="I25" s="104">
        <f t="shared" si="1"/>
        <v>0</v>
      </c>
      <c r="J25" s="104">
        <f>100%-G25*5%</f>
        <v>0.85</v>
      </c>
      <c r="K25" s="106">
        <v>1</v>
      </c>
      <c r="L25" s="112">
        <f>(H25/$H$28*50%+F25/$F$28*50%)*K25*J25*100</f>
        <v>0</v>
      </c>
      <c r="M25" s="115">
        <f t="shared" si="2"/>
        <v>0</v>
      </c>
      <c r="N25" s="96">
        <f t="shared" si="9"/>
        <v>0</v>
      </c>
      <c r="O25" s="96">
        <f t="shared" si="19"/>
        <v>3000000</v>
      </c>
      <c r="P25" s="96">
        <f t="shared" si="4"/>
        <v>3000000</v>
      </c>
      <c r="Q25" s="112">
        <f t="shared" si="17"/>
        <v>6</v>
      </c>
    </row>
    <row r="26" spans="1:17" x14ac:dyDescent="0.25">
      <c r="A26" s="94">
        <v>1</v>
      </c>
      <c r="B26" s="95" t="s">
        <v>405</v>
      </c>
      <c r="C26" s="95" t="s">
        <v>63</v>
      </c>
      <c r="D26" s="95">
        <v>21</v>
      </c>
      <c r="E26" s="95">
        <f>COUNTIFS('Data Doanh số'!$P:$P,MKT!C26,'Data Doanh số'!$X:$X,A26,'Data Doanh số'!$AB:$AB,"MKT")</f>
        <v>2</v>
      </c>
      <c r="F26" s="96">
        <f>SUMIFS('Data Doanh số'!$J:$J,'Data Doanh số'!$P:$P,MKT!C26,'Data Doanh số'!$X:$X,MKT!A26,'Data Doanh số'!$AB:$AB,"MKT")</f>
        <v>247015713.88888887</v>
      </c>
      <c r="G26" s="95">
        <v>2</v>
      </c>
      <c r="H26" s="104">
        <f t="shared" si="18"/>
        <v>9.5238095238095233E-2</v>
      </c>
      <c r="I26" s="104">
        <f t="shared" si="1"/>
        <v>0.14627864878074068</v>
      </c>
      <c r="J26" s="104">
        <f>100%-G26*5%</f>
        <v>0.9</v>
      </c>
      <c r="K26" s="106">
        <v>1</v>
      </c>
      <c r="L26" s="112">
        <f>(H26/$H$28*50%+F26/$F$28*50%)*K26*J26*100</f>
        <v>78.827437154316996</v>
      </c>
      <c r="M26" s="115">
        <f t="shared" si="2"/>
        <v>6.7140699483427282E-2</v>
      </c>
      <c r="N26" s="96">
        <f t="shared" si="9"/>
        <v>10205386.321480947</v>
      </c>
      <c r="O26" s="96">
        <f t="shared" si="19"/>
        <v>3000000</v>
      </c>
      <c r="P26" s="96">
        <f t="shared" si="4"/>
        <v>13205386.321480947</v>
      </c>
      <c r="Q26" s="112">
        <f t="shared" si="17"/>
        <v>26.410772642961895</v>
      </c>
    </row>
    <row r="27" spans="1:17" s="91" customFormat="1" ht="14.25" x14ac:dyDescent="0.2">
      <c r="A27" s="97"/>
      <c r="B27" s="358" t="s">
        <v>444</v>
      </c>
      <c r="C27" s="358"/>
      <c r="D27" s="117">
        <f>SUBTOTAL(9,D22:D26)</f>
        <v>55</v>
      </c>
      <c r="E27" s="117">
        <f>SUBTOTAL(9,E22:E26)</f>
        <v>5</v>
      </c>
      <c r="F27" s="121">
        <f>SUBTOTAL(9,F22:F26)</f>
        <v>472828676.85185182</v>
      </c>
      <c r="G27" s="121">
        <f>SUBTOTAL(9,G22:G26)</f>
        <v>6</v>
      </c>
      <c r="H27" s="118">
        <f t="shared" si="18"/>
        <v>9.0909090909090912E-2</v>
      </c>
      <c r="I27" s="118">
        <f t="shared" si="1"/>
        <v>0.28000137669697256</v>
      </c>
      <c r="J27" s="121"/>
      <c r="K27" s="117"/>
      <c r="L27" s="119">
        <f>SUBTOTAL(9,L22:L26)</f>
        <v>168.71387269916158</v>
      </c>
      <c r="M27" s="120">
        <f>L27/$L$28</f>
        <v>0.14370082086271732</v>
      </c>
      <c r="N27" s="121">
        <f t="shared" ref="N27:Q27" si="20">SUBTOTAL(9,N22:N26)</f>
        <v>21842524.771133028</v>
      </c>
      <c r="O27" s="121">
        <f t="shared" si="20"/>
        <v>12000000</v>
      </c>
      <c r="P27" s="121">
        <f t="shared" si="20"/>
        <v>33842524.771133028</v>
      </c>
      <c r="Q27" s="119">
        <f t="shared" si="20"/>
        <v>67.685049542266057</v>
      </c>
    </row>
    <row r="28" spans="1:17" s="93" customFormat="1" ht="23.25" customHeight="1" x14ac:dyDescent="0.2">
      <c r="A28" s="357" t="s">
        <v>447</v>
      </c>
      <c r="B28" s="357"/>
      <c r="C28" s="357"/>
      <c r="D28" s="98">
        <f>SUBTOTAL(9,D4:D27)</f>
        <v>236</v>
      </c>
      <c r="E28" s="98">
        <f>SUBTOTAL(9,E4:E27)</f>
        <v>14</v>
      </c>
      <c r="F28" s="98">
        <f>SUBTOTAL(9,F4:F27)</f>
        <v>1688665543.1111107</v>
      </c>
      <c r="G28" s="98">
        <f>SUBTOTAL(9,G4:G27)</f>
        <v>41</v>
      </c>
      <c r="H28" s="99">
        <f t="shared" si="18"/>
        <v>5.9322033898305086E-2</v>
      </c>
      <c r="I28" s="99"/>
      <c r="J28" s="98"/>
      <c r="K28" s="100"/>
      <c r="L28" s="98">
        <f>SUBTOTAL(9,L4:L27)</f>
        <v>1174.0633886868341</v>
      </c>
      <c r="M28" s="116"/>
      <c r="N28" s="98">
        <f>SUBTOTAL(9,N4:N27)</f>
        <v>152000000.00000003</v>
      </c>
      <c r="O28" s="98">
        <f>SUBTOTAL(9,O4:O27)</f>
        <v>48000000</v>
      </c>
      <c r="P28" s="98">
        <f>SUBTOTAL(9,P4:P27)</f>
        <v>200000000.00000003</v>
      </c>
      <c r="Q28" s="98">
        <f>SUBTOTAL(9,Q4:Q27)</f>
        <v>400.00000000000011</v>
      </c>
    </row>
    <row r="29" spans="1:17" x14ac:dyDescent="0.25">
      <c r="A29" s="88">
        <v>2</v>
      </c>
      <c r="B29" s="89" t="s">
        <v>442</v>
      </c>
      <c r="C29" s="89" t="s">
        <v>443</v>
      </c>
      <c r="E29" s="89">
        <f>COUNTIFS('Data Doanh số'!$P:$P,MKT!C29,'Data Doanh số'!$X:$X,A29,'Data Doanh số'!$AB:$AB,"MKT")</f>
        <v>0</v>
      </c>
      <c r="F29" s="90">
        <f>SUMIFS('Data Doanh số'!$J:$J,'Data Doanh số'!$P:$P,MKT!C29,'Data Doanh số'!$X:$X,MKT!A29,'Data Doanh số'!$AB:$AB,"MKT")</f>
        <v>0</v>
      </c>
    </row>
    <row r="30" spans="1:17" x14ac:dyDescent="0.25">
      <c r="A30" s="88">
        <v>2</v>
      </c>
      <c r="B30" s="89" t="s">
        <v>442</v>
      </c>
      <c r="C30" s="89" t="s">
        <v>33</v>
      </c>
      <c r="E30" s="89">
        <f>COUNTIFS('Data Doanh số'!$P:$P,MKT!C30,'Data Doanh số'!$X:$X,A30,'Data Doanh số'!$AB:$AB,"MKT")</f>
        <v>0</v>
      </c>
      <c r="F30" s="90">
        <f>SUMIFS('Data Doanh số'!$J:$J,'Data Doanh số'!$P:$P,MKT!C30,'Data Doanh số'!$X:$X,MKT!A30,'Data Doanh số'!$AB:$AB,"MKT")</f>
        <v>0</v>
      </c>
    </row>
    <row r="31" spans="1:17" x14ac:dyDescent="0.25">
      <c r="A31" s="88">
        <v>2</v>
      </c>
      <c r="B31" s="89" t="s">
        <v>442</v>
      </c>
      <c r="C31" s="89" t="s">
        <v>126</v>
      </c>
      <c r="E31" s="89">
        <f>COUNTIFS('Data Doanh số'!$P:$P,MKT!C31,'Data Doanh số'!$X:$X,A31,'Data Doanh số'!$AB:$AB,"MKT")</f>
        <v>1</v>
      </c>
      <c r="F31" s="90">
        <f>SUMIFS('Data Doanh số'!$J:$J,'Data Doanh số'!$P:$P,MKT!C31,'Data Doanh số'!$X:$X,MKT!A31,'Data Doanh số'!$AB:$AB,"MKT")</f>
        <v>3666666.6666666665</v>
      </c>
    </row>
    <row r="32" spans="1:17" x14ac:dyDescent="0.25">
      <c r="A32" s="88">
        <v>2</v>
      </c>
      <c r="B32" s="89" t="s">
        <v>402</v>
      </c>
      <c r="C32" s="89" t="s">
        <v>345</v>
      </c>
      <c r="E32" s="89">
        <f>COUNTIFS('Data Doanh số'!$P:$P,MKT!C32,'Data Doanh số'!$X:$X,A32,'Data Doanh số'!$AB:$AB,"MKT")</f>
        <v>0</v>
      </c>
      <c r="F32" s="90">
        <f>SUMIFS('Data Doanh số'!$J:$J,'Data Doanh số'!$P:$P,MKT!C32,'Data Doanh số'!$X:$X,MKT!A32,'Data Doanh số'!$AB:$AB,"MKT")</f>
        <v>0</v>
      </c>
    </row>
    <row r="33" spans="1:6" x14ac:dyDescent="0.25">
      <c r="A33" s="88">
        <v>2</v>
      </c>
      <c r="B33" s="89" t="s">
        <v>402</v>
      </c>
      <c r="C33" s="89" t="s">
        <v>113</v>
      </c>
      <c r="E33" s="89">
        <f>COUNTIFS('Data Doanh số'!$P:$P,MKT!C33,'Data Doanh số'!$X:$X,A33,'Data Doanh số'!$AB:$AB,"MKT")</f>
        <v>2</v>
      </c>
      <c r="F33" s="90">
        <f>SUMIFS('Data Doanh số'!$J:$J,'Data Doanh số'!$P:$P,MKT!C33,'Data Doanh số'!$X:$X,MKT!A33,'Data Doanh số'!$AB:$AB,"MKT")</f>
        <v>31018518.518518515</v>
      </c>
    </row>
    <row r="34" spans="1:6" x14ac:dyDescent="0.25">
      <c r="A34" s="88">
        <v>2</v>
      </c>
      <c r="B34" s="89" t="s">
        <v>402</v>
      </c>
      <c r="C34" s="89" t="s">
        <v>71</v>
      </c>
      <c r="E34" s="89">
        <f>COUNTIFS('Data Doanh số'!$P:$P,MKT!C34,'Data Doanh số'!$X:$X,A34,'Data Doanh số'!$AB:$AB,"MKT")</f>
        <v>2</v>
      </c>
      <c r="F34" s="90">
        <f>SUMIFS('Data Doanh số'!$J:$J,'Data Doanh số'!$P:$P,MKT!C34,'Data Doanh số'!$X:$X,MKT!A34,'Data Doanh số'!$AB:$AB,"MKT")</f>
        <v>99644445</v>
      </c>
    </row>
    <row r="35" spans="1:6" x14ac:dyDescent="0.25">
      <c r="A35" s="88">
        <v>2</v>
      </c>
      <c r="B35" s="89" t="s">
        <v>402</v>
      </c>
      <c r="C35" s="89" t="s">
        <v>87</v>
      </c>
      <c r="E35" s="89">
        <f>COUNTIFS('Data Doanh số'!$P:$P,MKT!C35,'Data Doanh số'!$X:$X,A35,'Data Doanh số'!$AB:$AB,"MKT")</f>
        <v>1</v>
      </c>
      <c r="F35" s="90">
        <f>SUMIFS('Data Doanh số'!$J:$J,'Data Doanh số'!$P:$P,MKT!C35,'Data Doanh số'!$X:$X,MKT!A35,'Data Doanh số'!$AB:$AB,"MKT")</f>
        <v>277777778</v>
      </c>
    </row>
    <row r="36" spans="1:6" x14ac:dyDescent="0.25">
      <c r="A36" s="88">
        <v>2</v>
      </c>
      <c r="B36" s="89" t="s">
        <v>402</v>
      </c>
      <c r="C36" s="89" t="s">
        <v>42</v>
      </c>
      <c r="E36" s="89">
        <f>COUNTIFS('Data Doanh số'!$P:$P,MKT!C36,'Data Doanh số'!$X:$X,A36,'Data Doanh số'!$AB:$AB,"MKT")</f>
        <v>2</v>
      </c>
      <c r="F36" s="90">
        <f>SUMIFS('Data Doanh số'!$J:$J,'Data Doanh số'!$P:$P,MKT!C36,'Data Doanh số'!$X:$X,MKT!A36,'Data Doanh số'!$AB:$AB,"MKT")</f>
        <v>76944444.444444433</v>
      </c>
    </row>
    <row r="37" spans="1:6" x14ac:dyDescent="0.25">
      <c r="A37" s="88">
        <v>2</v>
      </c>
      <c r="B37" s="89" t="s">
        <v>402</v>
      </c>
      <c r="C37" s="89" t="s">
        <v>105</v>
      </c>
      <c r="E37" s="89">
        <f>COUNTIFS('Data Doanh số'!$P:$P,MKT!C37,'Data Doanh số'!$X:$X,A37,'Data Doanh số'!$AB:$AB,"MKT")</f>
        <v>0</v>
      </c>
      <c r="F37" s="90">
        <f>SUMIFS('Data Doanh số'!$J:$J,'Data Doanh số'!$P:$P,MKT!C37,'Data Doanh số'!$X:$X,MKT!A37,'Data Doanh số'!$AB:$AB,"MKT")</f>
        <v>0</v>
      </c>
    </row>
    <row r="38" spans="1:6" x14ac:dyDescent="0.25">
      <c r="A38" s="88">
        <v>2</v>
      </c>
      <c r="B38" s="89" t="s">
        <v>402</v>
      </c>
      <c r="C38" s="89" t="s">
        <v>83</v>
      </c>
      <c r="E38" s="89">
        <f>COUNTIFS('Data Doanh số'!$P:$P,MKT!C38,'Data Doanh số'!$X:$X,A38,'Data Doanh số'!$AB:$AB,"MKT")</f>
        <v>0</v>
      </c>
      <c r="F38" s="90">
        <f>SUMIFS('Data Doanh số'!$J:$J,'Data Doanh số'!$P:$P,MKT!C38,'Data Doanh số'!$X:$X,MKT!A38,'Data Doanh số'!$AB:$AB,"MKT")</f>
        <v>0</v>
      </c>
    </row>
    <row r="39" spans="1:6" x14ac:dyDescent="0.25">
      <c r="A39" s="88">
        <v>2</v>
      </c>
      <c r="B39" s="89" t="s">
        <v>402</v>
      </c>
      <c r="C39" s="89" t="s">
        <v>140</v>
      </c>
      <c r="E39" s="89">
        <f>COUNTIFS('Data Doanh số'!$P:$P,MKT!C39,'Data Doanh số'!$X:$X,A39,'Data Doanh số'!$AB:$AB,"MKT")</f>
        <v>1</v>
      </c>
      <c r="F39" s="90">
        <f>SUMIFS('Data Doanh số'!$J:$J,'Data Doanh số'!$P:$P,MKT!C39,'Data Doanh số'!$X:$X,MKT!A39,'Data Doanh số'!$AB:$AB,"MKT")</f>
        <v>109662037</v>
      </c>
    </row>
    <row r="40" spans="1:6" x14ac:dyDescent="0.25">
      <c r="A40" s="88">
        <v>2</v>
      </c>
      <c r="B40" s="89" t="s">
        <v>403</v>
      </c>
      <c r="C40" s="89" t="s">
        <v>445</v>
      </c>
      <c r="E40" s="89">
        <f>COUNTIFS('Data Doanh số'!$P:$P,MKT!C40,'Data Doanh số'!$X:$X,A40,'Data Doanh số'!$AB:$AB,"MKT")</f>
        <v>0</v>
      </c>
      <c r="F40" s="90">
        <f>SUMIFS('Data Doanh số'!$J:$J,'Data Doanh số'!$P:$P,MKT!C40,'Data Doanh số'!$X:$X,MKT!A40,'Data Doanh số'!$AB:$AB,"MKT")</f>
        <v>0</v>
      </c>
    </row>
    <row r="41" spans="1:6" x14ac:dyDescent="0.25">
      <c r="A41" s="88">
        <v>2</v>
      </c>
      <c r="B41" s="89" t="s">
        <v>403</v>
      </c>
      <c r="C41" s="89" t="s">
        <v>153</v>
      </c>
      <c r="E41" s="89">
        <f>COUNTIFS('Data Doanh số'!$P:$P,MKT!C41,'Data Doanh số'!$X:$X,A41,'Data Doanh số'!$AB:$AB,"MKT")</f>
        <v>4</v>
      </c>
      <c r="F41" s="90">
        <f>SUMIFS('Data Doanh số'!$J:$J,'Data Doanh số'!$P:$P,MKT!C41,'Data Doanh số'!$X:$X,MKT!A41,'Data Doanh số'!$AB:$AB,"MKT")</f>
        <v>130451381.48148148</v>
      </c>
    </row>
    <row r="42" spans="1:6" x14ac:dyDescent="0.25">
      <c r="A42" s="88">
        <v>2</v>
      </c>
      <c r="B42" s="89" t="s">
        <v>403</v>
      </c>
      <c r="C42" s="89" t="s">
        <v>55</v>
      </c>
      <c r="E42" s="89">
        <f>COUNTIFS('Data Doanh số'!$P:$P,MKT!C42,'Data Doanh số'!$X:$X,A42,'Data Doanh số'!$AB:$AB,"MKT")</f>
        <v>0</v>
      </c>
      <c r="F42" s="90">
        <f>SUMIFS('Data Doanh số'!$J:$J,'Data Doanh số'!$P:$P,MKT!C42,'Data Doanh số'!$X:$X,MKT!A42,'Data Doanh số'!$AB:$AB,"MKT")</f>
        <v>0</v>
      </c>
    </row>
    <row r="43" spans="1:6" x14ac:dyDescent="0.25">
      <c r="A43" s="88">
        <v>2</v>
      </c>
      <c r="B43" s="89" t="s">
        <v>403</v>
      </c>
      <c r="C43" s="89" t="s">
        <v>446</v>
      </c>
      <c r="E43" s="89">
        <f>COUNTIFS('Data Doanh số'!$P:$P,MKT!C43,'Data Doanh số'!$X:$X,A43,'Data Doanh số'!$AB:$AB,"MKT")</f>
        <v>0</v>
      </c>
      <c r="F43" s="90">
        <f>SUMIFS('Data Doanh số'!$J:$J,'Data Doanh số'!$P:$P,MKT!C43,'Data Doanh số'!$X:$X,MKT!A43,'Data Doanh số'!$AB:$AB,"MKT")</f>
        <v>0</v>
      </c>
    </row>
    <row r="44" spans="1:6" x14ac:dyDescent="0.25">
      <c r="A44" s="88">
        <v>2</v>
      </c>
      <c r="B44" s="89" t="s">
        <v>405</v>
      </c>
      <c r="C44" s="89" t="s">
        <v>210</v>
      </c>
      <c r="E44" s="89">
        <f>COUNTIFS('Data Doanh số'!$P:$P,MKT!C44,'Data Doanh số'!$X:$X,A44,'Data Doanh số'!$AB:$AB,"MKT")</f>
        <v>0</v>
      </c>
      <c r="F44" s="90">
        <f>SUMIFS('Data Doanh số'!$J:$J,'Data Doanh số'!$P:$P,MKT!C44,'Data Doanh số'!$X:$X,MKT!A44,'Data Doanh số'!$AB:$AB,"MKT")</f>
        <v>0</v>
      </c>
    </row>
    <row r="45" spans="1:6" x14ac:dyDescent="0.25">
      <c r="A45" s="88">
        <v>2</v>
      </c>
      <c r="B45" s="89" t="s">
        <v>405</v>
      </c>
      <c r="C45" s="89" t="s">
        <v>59</v>
      </c>
      <c r="E45" s="89">
        <f>COUNTIFS('Data Doanh số'!$P:$P,MKT!C45,'Data Doanh số'!$X:$X,A45,'Data Doanh số'!$AB:$AB,"MKT")</f>
        <v>2</v>
      </c>
      <c r="F45" s="90">
        <f>SUMIFS('Data Doanh số'!$J:$J,'Data Doanh số'!$P:$P,MKT!C45,'Data Doanh số'!$X:$X,MKT!A45,'Data Doanh số'!$AB:$AB,"MKT")</f>
        <v>127777778.18518519</v>
      </c>
    </row>
    <row r="46" spans="1:6" x14ac:dyDescent="0.25">
      <c r="A46" s="88">
        <v>2</v>
      </c>
      <c r="B46" s="89" t="s">
        <v>405</v>
      </c>
      <c r="C46" s="89" t="s">
        <v>92</v>
      </c>
      <c r="E46" s="89">
        <f>COUNTIFS('Data Doanh số'!$P:$P,MKT!C46,'Data Doanh số'!$X:$X,A46,'Data Doanh số'!$AB:$AB,"MKT")</f>
        <v>0</v>
      </c>
      <c r="F46" s="90">
        <f>SUMIFS('Data Doanh số'!$J:$J,'Data Doanh số'!$P:$P,MKT!C46,'Data Doanh số'!$X:$X,MKT!A46,'Data Doanh số'!$AB:$AB,"MKT")</f>
        <v>0</v>
      </c>
    </row>
    <row r="47" spans="1:6" x14ac:dyDescent="0.25">
      <c r="A47" s="88">
        <v>2</v>
      </c>
      <c r="B47" s="89" t="s">
        <v>405</v>
      </c>
      <c r="C47" s="89" t="s">
        <v>170</v>
      </c>
      <c r="E47" s="89">
        <f>COUNTIFS('Data Doanh số'!$P:$P,MKT!C47,'Data Doanh số'!$X:$X,A47,'Data Doanh số'!$AB:$AB,"MKT")</f>
        <v>0</v>
      </c>
      <c r="F47" s="90">
        <f>SUMIFS('Data Doanh số'!$J:$J,'Data Doanh số'!$P:$P,MKT!C47,'Data Doanh số'!$X:$X,MKT!A47,'Data Doanh số'!$AB:$AB,"MKT")</f>
        <v>0</v>
      </c>
    </row>
    <row r="48" spans="1:6" x14ac:dyDescent="0.25">
      <c r="A48" s="88">
        <v>2</v>
      </c>
      <c r="B48" s="89" t="s">
        <v>405</v>
      </c>
      <c r="C48" s="89" t="s">
        <v>63</v>
      </c>
      <c r="E48" s="89">
        <f>COUNTIFS('Data Doanh số'!$P:$P,MKT!C48,'Data Doanh số'!$X:$X,A48,'Data Doanh số'!$AB:$AB,"MKT")</f>
        <v>0</v>
      </c>
      <c r="F48" s="90">
        <f>SUMIFS('Data Doanh số'!$J:$J,'Data Doanh số'!$P:$P,MKT!C48,'Data Doanh số'!$X:$X,MKT!A48,'Data Doanh số'!$AB:$AB,"MKT")</f>
        <v>0</v>
      </c>
    </row>
  </sheetData>
  <mergeCells count="6">
    <mergeCell ref="N2:P2"/>
    <mergeCell ref="A28:C28"/>
    <mergeCell ref="B16:C16"/>
    <mergeCell ref="B7:C7"/>
    <mergeCell ref="B21:C21"/>
    <mergeCell ref="B27:C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D967-1187-45FF-A665-F9B8E27661D5}">
  <dimension ref="A1:R35"/>
  <sheetViews>
    <sheetView topLeftCell="C17" workbookViewId="0">
      <selection activeCell="L26" sqref="L26"/>
    </sheetView>
  </sheetViews>
  <sheetFormatPr defaultColWidth="9.125" defaultRowHeight="14.25" x14ac:dyDescent="0.2"/>
  <cols>
    <col min="1" max="1" width="9.125" style="238"/>
    <col min="2" max="2" width="14" style="238" customWidth="1"/>
    <col min="3" max="3" width="25.875" style="237" customWidth="1"/>
    <col min="4" max="4" width="18.625" style="237" customWidth="1"/>
    <col min="5" max="6" width="24.625" style="237" customWidth="1"/>
    <col min="7" max="10" width="20.625" style="237" customWidth="1"/>
    <col min="11" max="11" width="18.75" style="237" customWidth="1"/>
    <col min="12" max="12" width="17.875" style="237" customWidth="1"/>
    <col min="13" max="18" width="17.75" style="237" customWidth="1"/>
    <col min="19" max="16384" width="9.125" style="237"/>
  </cols>
  <sheetData>
    <row r="1" spans="1:18" ht="24" customHeight="1" x14ac:dyDescent="0.2">
      <c r="A1" s="245" t="s">
        <v>0</v>
      </c>
      <c r="B1" s="245" t="s">
        <v>416</v>
      </c>
      <c r="C1" s="245" t="s">
        <v>448</v>
      </c>
      <c r="D1" s="245" t="s">
        <v>449</v>
      </c>
      <c r="E1" s="245" t="s">
        <v>450</v>
      </c>
      <c r="F1" s="245" t="s">
        <v>451</v>
      </c>
      <c r="G1" s="246" t="s">
        <v>452</v>
      </c>
      <c r="H1" s="246" t="s">
        <v>453</v>
      </c>
      <c r="I1" s="246" t="s">
        <v>454</v>
      </c>
      <c r="J1" s="246" t="s">
        <v>455</v>
      </c>
      <c r="K1" s="250" t="s">
        <v>456</v>
      </c>
      <c r="L1" s="305" t="s">
        <v>457</v>
      </c>
      <c r="M1" s="346" t="s">
        <v>458</v>
      </c>
      <c r="N1" s="346" t="s">
        <v>459</v>
      </c>
      <c r="O1" s="346" t="s">
        <v>460</v>
      </c>
      <c r="P1" s="346" t="s">
        <v>461</v>
      </c>
      <c r="Q1" s="346" t="s">
        <v>462</v>
      </c>
      <c r="R1" s="346" t="s">
        <v>463</v>
      </c>
    </row>
    <row r="2" spans="1:18" ht="18" customHeight="1" x14ac:dyDescent="0.2">
      <c r="A2" s="247">
        <v>1</v>
      </c>
      <c r="B2" s="247" t="s">
        <v>402</v>
      </c>
      <c r="C2" s="248" t="s">
        <v>345</v>
      </c>
      <c r="D2" s="248" t="s">
        <v>464</v>
      </c>
      <c r="E2" s="310">
        <v>46023</v>
      </c>
      <c r="F2" s="310"/>
      <c r="G2" s="248" t="s">
        <v>465</v>
      </c>
      <c r="H2" s="248" t="s">
        <v>465</v>
      </c>
      <c r="I2" s="248" t="s">
        <v>465</v>
      </c>
      <c r="J2" s="248" t="s">
        <v>465</v>
      </c>
      <c r="K2" s="285">
        <v>2300000000</v>
      </c>
      <c r="L2" s="306">
        <v>7900000000</v>
      </c>
      <c r="M2" s="306">
        <v>5000000000</v>
      </c>
      <c r="N2" s="306">
        <v>5000000000</v>
      </c>
      <c r="O2" s="306">
        <v>5000000000</v>
      </c>
      <c r="P2" s="306">
        <v>5000000000</v>
      </c>
      <c r="Q2" s="306">
        <v>6000000000</v>
      </c>
      <c r="R2" s="306">
        <v>6000000000</v>
      </c>
    </row>
    <row r="3" spans="1:18" ht="18" customHeight="1" x14ac:dyDescent="0.2">
      <c r="A3" s="247">
        <v>2</v>
      </c>
      <c r="B3" s="247" t="s">
        <v>402</v>
      </c>
      <c r="C3" s="248" t="s">
        <v>113</v>
      </c>
      <c r="D3" s="248" t="s">
        <v>464</v>
      </c>
      <c r="E3" s="310">
        <v>46023</v>
      </c>
      <c r="F3" s="310"/>
      <c r="G3" s="249">
        <v>350000000</v>
      </c>
      <c r="H3" s="249">
        <v>300000000</v>
      </c>
      <c r="I3" s="249">
        <v>300000000</v>
      </c>
      <c r="J3" s="248" t="s">
        <v>465</v>
      </c>
      <c r="K3" s="285" t="s">
        <v>465</v>
      </c>
      <c r="L3" s="306" t="s">
        <v>465</v>
      </c>
      <c r="M3" s="306"/>
      <c r="N3" s="306"/>
      <c r="O3" s="306"/>
      <c r="P3" s="306"/>
      <c r="Q3" s="306"/>
      <c r="R3" s="306"/>
    </row>
    <row r="4" spans="1:18" s="344" customFormat="1" ht="18" customHeight="1" x14ac:dyDescent="0.2">
      <c r="A4" s="337">
        <v>3</v>
      </c>
      <c r="B4" s="337" t="s">
        <v>402</v>
      </c>
      <c r="C4" s="338" t="s">
        <v>71</v>
      </c>
      <c r="D4" s="248" t="s">
        <v>464</v>
      </c>
      <c r="E4" s="352">
        <v>46023</v>
      </c>
      <c r="F4" s="352"/>
      <c r="G4" s="341">
        <v>300000000</v>
      </c>
      <c r="H4" s="341">
        <v>300000000</v>
      </c>
      <c r="I4" s="341">
        <v>300000000</v>
      </c>
      <c r="J4" s="341">
        <v>800000000</v>
      </c>
      <c r="K4" s="353" t="s">
        <v>465</v>
      </c>
      <c r="L4" s="343">
        <v>500000000</v>
      </c>
      <c r="M4" s="343"/>
      <c r="N4" s="343"/>
      <c r="O4" s="343"/>
      <c r="P4" s="343"/>
      <c r="Q4" s="343"/>
      <c r="R4" s="343"/>
    </row>
    <row r="5" spans="1:18" ht="18" customHeight="1" x14ac:dyDescent="0.2">
      <c r="A5" s="253">
        <v>4</v>
      </c>
      <c r="B5" s="253" t="s">
        <v>402</v>
      </c>
      <c r="C5" s="254" t="s">
        <v>87</v>
      </c>
      <c r="D5" s="254" t="s">
        <v>466</v>
      </c>
      <c r="E5" s="311">
        <v>46023</v>
      </c>
      <c r="F5" s="311">
        <v>46112</v>
      </c>
      <c r="G5" s="255">
        <v>300000000</v>
      </c>
      <c r="H5" s="255">
        <v>300000000</v>
      </c>
      <c r="I5" s="255">
        <v>300000000</v>
      </c>
      <c r="J5" s="255">
        <v>800000000</v>
      </c>
      <c r="K5" s="286" t="s">
        <v>465</v>
      </c>
      <c r="L5" s="307" t="s">
        <v>465</v>
      </c>
      <c r="M5" s="307"/>
      <c r="N5" s="307"/>
      <c r="O5" s="307"/>
      <c r="P5" s="307"/>
      <c r="Q5" s="307"/>
      <c r="R5" s="307"/>
    </row>
    <row r="6" spans="1:18" ht="18" customHeight="1" x14ac:dyDescent="0.2">
      <c r="A6" s="247">
        <v>5</v>
      </c>
      <c r="B6" s="247" t="s">
        <v>402</v>
      </c>
      <c r="C6" s="248" t="s">
        <v>42</v>
      </c>
      <c r="D6" s="248" t="s">
        <v>464</v>
      </c>
      <c r="E6" s="310">
        <v>46023</v>
      </c>
      <c r="F6" s="248"/>
      <c r="G6" s="249">
        <v>300000000</v>
      </c>
      <c r="H6" s="249">
        <v>300000000</v>
      </c>
      <c r="I6" s="249">
        <v>300000000</v>
      </c>
      <c r="J6" s="249">
        <v>800000000</v>
      </c>
      <c r="K6" s="285">
        <v>900000000</v>
      </c>
      <c r="L6" s="306">
        <v>1000000000</v>
      </c>
      <c r="M6" s="306"/>
      <c r="N6" s="306"/>
      <c r="O6" s="306"/>
      <c r="P6" s="306"/>
      <c r="Q6" s="306"/>
      <c r="R6" s="306"/>
    </row>
    <row r="7" spans="1:18" ht="18" customHeight="1" x14ac:dyDescent="0.2">
      <c r="A7" s="253">
        <v>6</v>
      </c>
      <c r="B7" s="253" t="s">
        <v>402</v>
      </c>
      <c r="C7" s="254" t="s">
        <v>105</v>
      </c>
      <c r="D7" s="254" t="s">
        <v>466</v>
      </c>
      <c r="E7" s="311">
        <v>46023</v>
      </c>
      <c r="F7" s="311">
        <v>46112</v>
      </c>
      <c r="G7" s="255">
        <v>350000000</v>
      </c>
      <c r="H7" s="255">
        <v>350000000</v>
      </c>
      <c r="I7" s="255">
        <v>300000000</v>
      </c>
      <c r="J7" s="255">
        <v>800000000</v>
      </c>
      <c r="K7" s="286" t="s">
        <v>465</v>
      </c>
      <c r="L7" s="307" t="s">
        <v>465</v>
      </c>
      <c r="M7" s="307"/>
      <c r="N7" s="307"/>
      <c r="O7" s="307"/>
      <c r="P7" s="307"/>
      <c r="Q7" s="307"/>
      <c r="R7" s="307"/>
    </row>
    <row r="8" spans="1:18" ht="18" customHeight="1" x14ac:dyDescent="0.2">
      <c r="A8" s="247">
        <v>7</v>
      </c>
      <c r="B8" s="247" t="s">
        <v>402</v>
      </c>
      <c r="C8" s="248" t="s">
        <v>83</v>
      </c>
      <c r="D8" s="248" t="s">
        <v>464</v>
      </c>
      <c r="E8" s="310">
        <v>46023</v>
      </c>
      <c r="F8" s="248"/>
      <c r="G8" s="249">
        <v>300000000</v>
      </c>
      <c r="H8" s="249">
        <v>300000000</v>
      </c>
      <c r="I8" s="249">
        <v>300000000</v>
      </c>
      <c r="J8" s="249">
        <v>800000000</v>
      </c>
      <c r="K8" s="285">
        <v>900000000</v>
      </c>
      <c r="L8" s="306">
        <v>1000000000</v>
      </c>
      <c r="M8" s="306"/>
      <c r="N8" s="306"/>
      <c r="O8" s="306"/>
      <c r="P8" s="306"/>
      <c r="Q8" s="306"/>
      <c r="R8" s="306"/>
    </row>
    <row r="9" spans="1:18" ht="18" customHeight="1" x14ac:dyDescent="0.2">
      <c r="A9" s="253">
        <v>8</v>
      </c>
      <c r="B9" s="253" t="s">
        <v>402</v>
      </c>
      <c r="C9" s="254" t="s">
        <v>140</v>
      </c>
      <c r="D9" s="254" t="s">
        <v>466</v>
      </c>
      <c r="E9" s="311">
        <v>46023</v>
      </c>
      <c r="F9" s="311">
        <v>46173</v>
      </c>
      <c r="G9" s="255">
        <v>300000000</v>
      </c>
      <c r="H9" s="255">
        <v>300000000</v>
      </c>
      <c r="I9" s="255">
        <v>300000000</v>
      </c>
      <c r="J9" s="255">
        <v>800000000</v>
      </c>
      <c r="K9" s="286">
        <v>900000000</v>
      </c>
      <c r="L9" s="307" t="s">
        <v>465</v>
      </c>
      <c r="M9" s="307"/>
      <c r="N9" s="307"/>
      <c r="O9" s="307"/>
      <c r="P9" s="307"/>
      <c r="Q9" s="307"/>
      <c r="R9" s="307"/>
    </row>
    <row r="10" spans="1:18" s="344" customFormat="1" ht="18" customHeight="1" x14ac:dyDescent="0.2">
      <c r="A10" s="337">
        <v>9</v>
      </c>
      <c r="B10" s="337" t="s">
        <v>402</v>
      </c>
      <c r="C10" s="338" t="s">
        <v>349</v>
      </c>
      <c r="D10" s="339" t="s">
        <v>464</v>
      </c>
      <c r="E10" s="340">
        <v>46172</v>
      </c>
      <c r="F10" s="340"/>
      <c r="G10" s="341"/>
      <c r="H10" s="341"/>
      <c r="I10" s="341"/>
      <c r="J10" s="341"/>
      <c r="K10" s="342"/>
      <c r="L10" s="343">
        <v>500000000</v>
      </c>
      <c r="M10" s="343"/>
      <c r="N10" s="343"/>
      <c r="O10" s="343"/>
      <c r="P10" s="343"/>
      <c r="Q10" s="343"/>
      <c r="R10" s="343"/>
    </row>
    <row r="11" spans="1:18" s="344" customFormat="1" ht="18" customHeight="1" x14ac:dyDescent="0.2">
      <c r="A11" s="337">
        <v>10</v>
      </c>
      <c r="B11" s="337" t="s">
        <v>402</v>
      </c>
      <c r="C11" s="248" t="s">
        <v>352</v>
      </c>
      <c r="D11" s="339" t="s">
        <v>464</v>
      </c>
      <c r="E11" s="340">
        <v>46174</v>
      </c>
      <c r="F11" s="340"/>
      <c r="G11" s="249"/>
      <c r="H11" s="249"/>
      <c r="I11" s="249"/>
      <c r="J11" s="249"/>
      <c r="K11" s="345"/>
      <c r="L11" s="306">
        <v>500000000</v>
      </c>
      <c r="M11" s="343"/>
      <c r="N11" s="343"/>
      <c r="O11" s="343"/>
      <c r="P11" s="343"/>
      <c r="Q11" s="343"/>
      <c r="R11" s="343"/>
    </row>
    <row r="12" spans="1:18" ht="18" customHeight="1" x14ac:dyDescent="0.2">
      <c r="A12" s="253">
        <v>11</v>
      </c>
      <c r="B12" s="253" t="s">
        <v>403</v>
      </c>
      <c r="C12" s="254" t="s">
        <v>445</v>
      </c>
      <c r="D12" s="254" t="s">
        <v>466</v>
      </c>
      <c r="E12" s="311">
        <v>46023</v>
      </c>
      <c r="F12" s="311">
        <v>46142</v>
      </c>
      <c r="G12" s="255">
        <v>300000000</v>
      </c>
      <c r="H12" s="255">
        <v>400000000</v>
      </c>
      <c r="I12" s="255">
        <v>400000000</v>
      </c>
      <c r="J12" s="255">
        <v>800000000</v>
      </c>
      <c r="K12" s="286" t="s">
        <v>465</v>
      </c>
      <c r="L12" s="307" t="s">
        <v>465</v>
      </c>
      <c r="M12" s="307"/>
      <c r="N12" s="307"/>
      <c r="O12" s="307"/>
      <c r="P12" s="307"/>
      <c r="Q12" s="307"/>
      <c r="R12" s="307"/>
    </row>
    <row r="13" spans="1:18" ht="18" customHeight="1" x14ac:dyDescent="0.2">
      <c r="A13" s="253">
        <v>12</v>
      </c>
      <c r="B13" s="253" t="s">
        <v>403</v>
      </c>
      <c r="C13" s="254" t="s">
        <v>153</v>
      </c>
      <c r="D13" s="254" t="s">
        <v>466</v>
      </c>
      <c r="E13" s="311">
        <v>46023</v>
      </c>
      <c r="F13" s="311">
        <v>46142</v>
      </c>
      <c r="G13" s="255">
        <v>500000000</v>
      </c>
      <c r="H13" s="255">
        <v>600000000</v>
      </c>
      <c r="I13" s="255">
        <v>600000000</v>
      </c>
      <c r="J13" s="255">
        <v>800000000</v>
      </c>
      <c r="K13" s="286" t="s">
        <v>465</v>
      </c>
      <c r="L13" s="307" t="s">
        <v>465</v>
      </c>
      <c r="M13" s="307"/>
      <c r="N13" s="307"/>
      <c r="O13" s="307"/>
      <c r="P13" s="307"/>
      <c r="Q13" s="307"/>
      <c r="R13" s="307"/>
    </row>
    <row r="14" spans="1:18" ht="18" customHeight="1" x14ac:dyDescent="0.2">
      <c r="A14" s="253">
        <v>13</v>
      </c>
      <c r="B14" s="253" t="s">
        <v>403</v>
      </c>
      <c r="C14" s="254" t="s">
        <v>55</v>
      </c>
      <c r="D14" s="254" t="s">
        <v>466</v>
      </c>
      <c r="E14" s="311">
        <v>46023</v>
      </c>
      <c r="F14" s="311">
        <v>46142</v>
      </c>
      <c r="G14" s="255">
        <v>400000000</v>
      </c>
      <c r="H14" s="255">
        <v>400000000</v>
      </c>
      <c r="I14" s="255">
        <v>500000000</v>
      </c>
      <c r="J14" s="255"/>
      <c r="K14" s="286" t="s">
        <v>465</v>
      </c>
      <c r="L14" s="307" t="s">
        <v>465</v>
      </c>
      <c r="M14" s="307"/>
      <c r="N14" s="307"/>
      <c r="O14" s="307"/>
      <c r="P14" s="307"/>
      <c r="Q14" s="307"/>
      <c r="R14" s="307"/>
    </row>
    <row r="15" spans="1:18" ht="18" customHeight="1" x14ac:dyDescent="0.2">
      <c r="A15" s="247">
        <v>14</v>
      </c>
      <c r="B15" s="247" t="s">
        <v>403</v>
      </c>
      <c r="C15" s="248" t="s">
        <v>312</v>
      </c>
      <c r="D15" s="248" t="s">
        <v>464</v>
      </c>
      <c r="E15" s="310">
        <v>46143</v>
      </c>
      <c r="F15" s="248"/>
      <c r="G15" s="249"/>
      <c r="H15" s="249"/>
      <c r="I15" s="249"/>
      <c r="J15" s="249"/>
      <c r="K15" s="285">
        <v>4000000000</v>
      </c>
      <c r="L15" s="306">
        <v>5000000000</v>
      </c>
      <c r="M15" s="306">
        <v>4000000000</v>
      </c>
      <c r="N15" s="306">
        <v>3000000000</v>
      </c>
      <c r="O15" s="306">
        <v>3000000000</v>
      </c>
      <c r="P15" s="306">
        <v>4000000000</v>
      </c>
      <c r="Q15" s="306">
        <v>4000000000</v>
      </c>
      <c r="R15" s="306">
        <v>4000000000</v>
      </c>
    </row>
    <row r="16" spans="1:18" ht="18" customHeight="1" x14ac:dyDescent="0.2">
      <c r="A16" s="253">
        <v>15</v>
      </c>
      <c r="B16" s="253" t="s">
        <v>403</v>
      </c>
      <c r="C16" s="254" t="s">
        <v>236</v>
      </c>
      <c r="D16" s="254" t="s">
        <v>466</v>
      </c>
      <c r="E16" s="311">
        <v>46082</v>
      </c>
      <c r="F16" s="311">
        <v>46173</v>
      </c>
      <c r="G16" s="255" t="s">
        <v>465</v>
      </c>
      <c r="H16" s="255" t="s">
        <v>465</v>
      </c>
      <c r="I16" s="255" t="s">
        <v>465</v>
      </c>
      <c r="J16" s="255">
        <v>600000000</v>
      </c>
      <c r="K16" s="286">
        <v>1000000000</v>
      </c>
      <c r="L16" s="307" t="s">
        <v>465</v>
      </c>
      <c r="M16" s="307"/>
      <c r="N16" s="307"/>
      <c r="O16" s="307"/>
      <c r="P16" s="307"/>
      <c r="Q16" s="307"/>
      <c r="R16" s="307"/>
    </row>
    <row r="17" spans="1:18" ht="18" customHeight="1" x14ac:dyDescent="0.2">
      <c r="A17" s="247">
        <v>16</v>
      </c>
      <c r="B17" s="247" t="s">
        <v>405</v>
      </c>
      <c r="C17" s="248" t="s">
        <v>210</v>
      </c>
      <c r="D17" s="248" t="s">
        <v>464</v>
      </c>
      <c r="E17" s="310">
        <v>46023</v>
      </c>
      <c r="F17" s="248"/>
      <c r="G17" s="248" t="s">
        <v>465</v>
      </c>
      <c r="H17" s="248" t="s">
        <v>465</v>
      </c>
      <c r="I17" s="248" t="s">
        <v>465</v>
      </c>
      <c r="J17" s="249">
        <v>2600000000</v>
      </c>
      <c r="K17" s="285">
        <v>11700000000</v>
      </c>
      <c r="L17" s="306">
        <v>23800000000</v>
      </c>
      <c r="M17" s="306">
        <v>7000000000</v>
      </c>
      <c r="N17" s="306">
        <v>6000000000</v>
      </c>
      <c r="O17" s="306">
        <v>6000000000</v>
      </c>
      <c r="P17" s="306">
        <v>7000000000</v>
      </c>
      <c r="Q17" s="306">
        <v>7000000000</v>
      </c>
      <c r="R17" s="306">
        <v>7000000000</v>
      </c>
    </row>
    <row r="18" spans="1:18" ht="18" customHeight="1" x14ac:dyDescent="0.2">
      <c r="A18" s="253">
        <v>17</v>
      </c>
      <c r="B18" s="253" t="s">
        <v>405</v>
      </c>
      <c r="C18" s="254" t="s">
        <v>170</v>
      </c>
      <c r="D18" s="254" t="s">
        <v>466</v>
      </c>
      <c r="E18" s="311">
        <v>46023</v>
      </c>
      <c r="F18" s="311">
        <v>46142</v>
      </c>
      <c r="G18" s="255">
        <v>800000000</v>
      </c>
      <c r="H18" s="255">
        <v>500000000</v>
      </c>
      <c r="I18" s="255">
        <v>600000000</v>
      </c>
      <c r="J18" s="254" t="s">
        <v>465</v>
      </c>
      <c r="K18" s="286" t="s">
        <v>465</v>
      </c>
      <c r="L18" s="307" t="s">
        <v>465</v>
      </c>
      <c r="M18" s="307"/>
      <c r="N18" s="307"/>
      <c r="O18" s="307"/>
      <c r="P18" s="307"/>
      <c r="Q18" s="307"/>
      <c r="R18" s="307"/>
    </row>
    <row r="19" spans="1:18" ht="18" customHeight="1" x14ac:dyDescent="0.2">
      <c r="A19" s="247">
        <v>18</v>
      </c>
      <c r="B19" s="247" t="s">
        <v>405</v>
      </c>
      <c r="C19" s="248" t="s">
        <v>63</v>
      </c>
      <c r="D19" s="248" t="s">
        <v>464</v>
      </c>
      <c r="E19" s="310">
        <v>46023</v>
      </c>
      <c r="F19" s="248"/>
      <c r="G19" s="249">
        <v>600000000</v>
      </c>
      <c r="H19" s="249">
        <v>500000000</v>
      </c>
      <c r="I19" s="249">
        <v>400000000</v>
      </c>
      <c r="J19" s="249">
        <v>1000000000</v>
      </c>
      <c r="K19" s="285">
        <v>800000000</v>
      </c>
      <c r="L19" s="306">
        <v>600000000</v>
      </c>
      <c r="M19" s="306"/>
      <c r="N19" s="306"/>
      <c r="O19" s="306"/>
      <c r="P19" s="306"/>
      <c r="Q19" s="306"/>
      <c r="R19" s="306"/>
    </row>
    <row r="20" spans="1:18" ht="18" customHeight="1" x14ac:dyDescent="0.2">
      <c r="A20" s="253">
        <v>19</v>
      </c>
      <c r="B20" s="253" t="s">
        <v>405</v>
      </c>
      <c r="C20" s="254" t="s">
        <v>257</v>
      </c>
      <c r="D20" s="254" t="s">
        <v>466</v>
      </c>
      <c r="E20" s="311">
        <v>46113</v>
      </c>
      <c r="F20" s="311">
        <v>46142</v>
      </c>
      <c r="G20" s="255" t="s">
        <v>465</v>
      </c>
      <c r="H20" s="255" t="s">
        <v>465</v>
      </c>
      <c r="I20" s="255" t="s">
        <v>465</v>
      </c>
      <c r="J20" s="255">
        <v>400000000</v>
      </c>
      <c r="K20" s="286"/>
      <c r="L20" s="307" t="s">
        <v>465</v>
      </c>
      <c r="M20" s="307"/>
      <c r="N20" s="307"/>
      <c r="O20" s="307"/>
      <c r="P20" s="307"/>
      <c r="Q20" s="307"/>
      <c r="R20" s="307"/>
    </row>
    <row r="21" spans="1:18" ht="18" customHeight="1" x14ac:dyDescent="0.2">
      <c r="A21" s="253">
        <v>20</v>
      </c>
      <c r="B21" s="253" t="s">
        <v>405</v>
      </c>
      <c r="C21" s="254" t="s">
        <v>59</v>
      </c>
      <c r="D21" s="254" t="s">
        <v>466</v>
      </c>
      <c r="E21" s="311">
        <v>46023</v>
      </c>
      <c r="F21" s="311">
        <v>46142</v>
      </c>
      <c r="G21" s="255">
        <v>500000000</v>
      </c>
      <c r="H21" s="255">
        <v>500000000</v>
      </c>
      <c r="I21" s="255">
        <v>600000000</v>
      </c>
      <c r="J21" s="255"/>
      <c r="K21" s="286" t="s">
        <v>465</v>
      </c>
      <c r="L21" s="307" t="s">
        <v>465</v>
      </c>
      <c r="M21" s="307"/>
      <c r="N21" s="307"/>
      <c r="O21" s="307"/>
      <c r="P21" s="307"/>
      <c r="Q21" s="307"/>
      <c r="R21" s="307"/>
    </row>
    <row r="22" spans="1:18" ht="18" customHeight="1" x14ac:dyDescent="0.2">
      <c r="A22" s="253">
        <v>21</v>
      </c>
      <c r="B22" s="253" t="s">
        <v>405</v>
      </c>
      <c r="C22" s="254" t="s">
        <v>92</v>
      </c>
      <c r="D22" s="254" t="s">
        <v>466</v>
      </c>
      <c r="E22" s="311">
        <v>46023</v>
      </c>
      <c r="F22" s="311">
        <v>46081</v>
      </c>
      <c r="G22" s="255">
        <v>100000000</v>
      </c>
      <c r="H22" s="255">
        <v>100000000</v>
      </c>
      <c r="I22" s="254" t="s">
        <v>465</v>
      </c>
      <c r="J22" s="254" t="s">
        <v>465</v>
      </c>
      <c r="K22" s="286" t="s">
        <v>465</v>
      </c>
      <c r="L22" s="307" t="s">
        <v>465</v>
      </c>
      <c r="M22" s="307"/>
      <c r="N22" s="307"/>
      <c r="O22" s="307"/>
      <c r="P22" s="307"/>
      <c r="Q22" s="307"/>
      <c r="R22" s="307"/>
    </row>
    <row r="23" spans="1:18" ht="18" customHeight="1" x14ac:dyDescent="0.2">
      <c r="A23" s="247">
        <v>22</v>
      </c>
      <c r="B23" s="247" t="s">
        <v>405</v>
      </c>
      <c r="C23" s="248" t="s">
        <v>130</v>
      </c>
      <c r="D23" s="248" t="s">
        <v>464</v>
      </c>
      <c r="E23" s="310">
        <v>46113</v>
      </c>
      <c r="F23" s="248"/>
      <c r="G23" s="248" t="s">
        <v>465</v>
      </c>
      <c r="H23" s="248" t="s">
        <v>465</v>
      </c>
      <c r="I23" s="248" t="s">
        <v>465</v>
      </c>
      <c r="J23" s="249">
        <v>600000000</v>
      </c>
      <c r="K23" s="285">
        <v>500000000</v>
      </c>
      <c r="L23" s="306">
        <v>600000000</v>
      </c>
      <c r="M23" s="306"/>
      <c r="N23" s="306"/>
      <c r="O23" s="306"/>
      <c r="P23" s="306"/>
      <c r="Q23" s="306"/>
      <c r="R23" s="306"/>
    </row>
    <row r="24" spans="1:18" ht="18" customHeight="1" x14ac:dyDescent="0.2">
      <c r="A24" s="247">
        <v>23</v>
      </c>
      <c r="B24" s="247" t="s">
        <v>442</v>
      </c>
      <c r="C24" s="248" t="s">
        <v>80</v>
      </c>
      <c r="D24" s="248" t="s">
        <v>464</v>
      </c>
      <c r="E24" s="310">
        <v>46023</v>
      </c>
      <c r="F24" s="248"/>
      <c r="G24" s="249">
        <v>1500000000</v>
      </c>
      <c r="H24" s="249">
        <v>400000000</v>
      </c>
      <c r="I24" s="249">
        <v>3000000000</v>
      </c>
      <c r="J24" s="249">
        <v>3000000000</v>
      </c>
      <c r="K24" s="285">
        <v>3000000000</v>
      </c>
      <c r="L24" s="306">
        <v>2300000000</v>
      </c>
      <c r="M24" s="306">
        <v>3000000000</v>
      </c>
      <c r="N24" s="306">
        <v>3000000000</v>
      </c>
      <c r="O24" s="306">
        <v>3000000000</v>
      </c>
      <c r="P24" s="306">
        <v>3000000000</v>
      </c>
      <c r="Q24" s="306">
        <v>4000000000</v>
      </c>
      <c r="R24" s="306">
        <v>4000000000</v>
      </c>
    </row>
    <row r="25" spans="1:18" ht="18" customHeight="1" x14ac:dyDescent="0.2">
      <c r="A25" s="253">
        <v>24</v>
      </c>
      <c r="B25" s="253" t="s">
        <v>442</v>
      </c>
      <c r="C25" s="254" t="s">
        <v>33</v>
      </c>
      <c r="D25" s="254" t="s">
        <v>466</v>
      </c>
      <c r="E25" s="311">
        <v>46023</v>
      </c>
      <c r="F25" s="311">
        <v>46081</v>
      </c>
      <c r="G25" s="255">
        <v>500000000</v>
      </c>
      <c r="H25" s="255">
        <v>400000000</v>
      </c>
      <c r="I25" s="254" t="s">
        <v>465</v>
      </c>
      <c r="J25" s="254" t="s">
        <v>465</v>
      </c>
      <c r="K25" s="286" t="s">
        <v>465</v>
      </c>
      <c r="L25" s="307" t="s">
        <v>465</v>
      </c>
      <c r="M25" s="307"/>
      <c r="N25" s="307"/>
      <c r="O25" s="307"/>
      <c r="P25" s="307"/>
      <c r="Q25" s="307"/>
      <c r="R25" s="307"/>
    </row>
    <row r="26" spans="1:18" ht="18" customHeight="1" x14ac:dyDescent="0.2">
      <c r="A26" s="253">
        <v>25</v>
      </c>
      <c r="B26" s="253" t="s">
        <v>442</v>
      </c>
      <c r="C26" s="254" t="s">
        <v>126</v>
      </c>
      <c r="D26" s="254" t="s">
        <v>466</v>
      </c>
      <c r="E26" s="311">
        <v>46023</v>
      </c>
      <c r="F26" s="311">
        <v>46081</v>
      </c>
      <c r="G26" s="254" t="s">
        <v>465</v>
      </c>
      <c r="H26" s="255">
        <v>300000000</v>
      </c>
      <c r="I26" s="254" t="s">
        <v>465</v>
      </c>
      <c r="J26" s="254" t="s">
        <v>465</v>
      </c>
      <c r="K26" s="286" t="s">
        <v>465</v>
      </c>
      <c r="L26" s="307" t="s">
        <v>465</v>
      </c>
      <c r="M26" s="307"/>
      <c r="N26" s="307"/>
      <c r="O26" s="307"/>
      <c r="P26" s="307"/>
      <c r="Q26" s="307"/>
      <c r="R26" s="307"/>
    </row>
    <row r="27" spans="1:18" ht="18" customHeight="1" x14ac:dyDescent="0.2">
      <c r="A27" s="253">
        <v>26</v>
      </c>
      <c r="B27" s="253" t="s">
        <v>442</v>
      </c>
      <c r="C27" s="254" t="s">
        <v>226</v>
      </c>
      <c r="D27" s="254" t="s">
        <v>466</v>
      </c>
      <c r="E27" s="311">
        <v>46082</v>
      </c>
      <c r="F27" s="311">
        <v>46173</v>
      </c>
      <c r="G27" s="254" t="s">
        <v>465</v>
      </c>
      <c r="H27" s="255" t="s">
        <v>465</v>
      </c>
      <c r="I27" s="335">
        <v>100000000</v>
      </c>
      <c r="J27" s="335">
        <v>500000000</v>
      </c>
      <c r="K27" s="286">
        <v>500000000</v>
      </c>
      <c r="L27" s="307" t="s">
        <v>465</v>
      </c>
      <c r="M27" s="307"/>
      <c r="N27" s="307"/>
      <c r="O27" s="307"/>
      <c r="P27" s="307"/>
      <c r="Q27" s="307"/>
      <c r="R27" s="307"/>
    </row>
    <row r="28" spans="1:18" ht="18" customHeight="1" x14ac:dyDescent="0.2">
      <c r="A28" s="247">
        <v>27</v>
      </c>
      <c r="B28" s="247" t="s">
        <v>442</v>
      </c>
      <c r="C28" s="248" t="s">
        <v>229</v>
      </c>
      <c r="D28" s="248" t="s">
        <v>464</v>
      </c>
      <c r="E28" s="310">
        <v>46082</v>
      </c>
      <c r="F28" s="248"/>
      <c r="G28" s="248" t="s">
        <v>465</v>
      </c>
      <c r="H28" s="248" t="s">
        <v>465</v>
      </c>
      <c r="I28" s="249">
        <v>100000000</v>
      </c>
      <c r="J28" s="249">
        <v>500000000</v>
      </c>
      <c r="K28" s="285">
        <v>500000000</v>
      </c>
      <c r="L28" s="306">
        <v>500000000</v>
      </c>
      <c r="M28" s="306"/>
      <c r="N28" s="306"/>
      <c r="O28" s="306"/>
      <c r="P28" s="306"/>
      <c r="Q28" s="306"/>
      <c r="R28" s="306"/>
    </row>
    <row r="29" spans="1:18" ht="18" customHeight="1" x14ac:dyDescent="0.2">
      <c r="A29" s="247">
        <v>28</v>
      </c>
      <c r="B29" s="247" t="s">
        <v>442</v>
      </c>
      <c r="C29" s="248" t="s">
        <v>467</v>
      </c>
      <c r="D29" s="248" t="s">
        <v>464</v>
      </c>
      <c r="E29" s="312">
        <v>46179</v>
      </c>
      <c r="F29" s="252"/>
      <c r="G29" s="248"/>
      <c r="H29" s="248"/>
      <c r="I29" s="249"/>
      <c r="J29" s="249"/>
      <c r="K29" s="345"/>
      <c r="L29" s="306">
        <v>500000000</v>
      </c>
      <c r="M29" s="306"/>
      <c r="N29" s="306"/>
      <c r="O29" s="306"/>
      <c r="P29" s="306"/>
      <c r="Q29" s="306"/>
      <c r="R29" s="306"/>
    </row>
    <row r="30" spans="1:18" ht="18" customHeight="1" x14ac:dyDescent="0.2">
      <c r="A30" s="253">
        <v>29</v>
      </c>
      <c r="B30" s="253" t="s">
        <v>117</v>
      </c>
      <c r="C30" s="254" t="s">
        <v>118</v>
      </c>
      <c r="D30" s="254" t="s">
        <v>466</v>
      </c>
      <c r="E30" s="311">
        <v>46023</v>
      </c>
      <c r="F30" s="311">
        <v>46081</v>
      </c>
      <c r="G30" s="254" t="s">
        <v>465</v>
      </c>
      <c r="H30" s="255">
        <v>40000000</v>
      </c>
      <c r="I30" s="254" t="s">
        <v>465</v>
      </c>
      <c r="J30" s="254" t="s">
        <v>465</v>
      </c>
      <c r="K30" s="286" t="s">
        <v>465</v>
      </c>
      <c r="L30" s="307" t="s">
        <v>465</v>
      </c>
      <c r="M30" s="307"/>
      <c r="N30" s="307"/>
      <c r="O30" s="307"/>
      <c r="P30" s="307"/>
      <c r="Q30" s="307"/>
      <c r="R30" s="307"/>
    </row>
    <row r="31" spans="1:18" ht="18" customHeight="1" x14ac:dyDescent="0.2">
      <c r="A31" s="253">
        <v>30</v>
      </c>
      <c r="B31" s="253" t="s">
        <v>117</v>
      </c>
      <c r="C31" s="254" t="s">
        <v>180</v>
      </c>
      <c r="D31" s="254" t="s">
        <v>466</v>
      </c>
      <c r="E31" s="311">
        <v>46082</v>
      </c>
      <c r="F31" s="311">
        <v>46173</v>
      </c>
      <c r="G31" s="254" t="s">
        <v>465</v>
      </c>
      <c r="H31" s="255" t="s">
        <v>465</v>
      </c>
      <c r="I31" s="254">
        <v>50000000</v>
      </c>
      <c r="J31" s="254">
        <v>50000000</v>
      </c>
      <c r="K31" s="286">
        <v>50000000</v>
      </c>
      <c r="L31" s="307"/>
      <c r="M31" s="307"/>
      <c r="N31" s="307"/>
      <c r="O31" s="307"/>
      <c r="P31" s="307"/>
      <c r="Q31" s="307"/>
      <c r="R31" s="307"/>
    </row>
    <row r="32" spans="1:18" ht="18" customHeight="1" x14ac:dyDescent="0.2">
      <c r="A32" s="251">
        <v>31</v>
      </c>
      <c r="B32" s="251" t="s">
        <v>117</v>
      </c>
      <c r="C32" s="248" t="s">
        <v>364</v>
      </c>
      <c r="D32" s="248" t="s">
        <v>464</v>
      </c>
      <c r="E32" s="312">
        <v>46162</v>
      </c>
      <c r="F32" s="252"/>
      <c r="G32" s="248"/>
      <c r="H32" s="248"/>
      <c r="I32" s="249"/>
      <c r="J32" s="249"/>
      <c r="K32" s="345"/>
      <c r="L32" s="306">
        <v>50000000</v>
      </c>
      <c r="M32" s="306"/>
      <c r="N32" s="306">
        <v>600000000</v>
      </c>
      <c r="O32" s="306">
        <v>800000000</v>
      </c>
      <c r="P32" s="306">
        <v>800000000</v>
      </c>
      <c r="Q32" s="306">
        <v>1000000000</v>
      </c>
      <c r="R32" s="306">
        <v>1200000000</v>
      </c>
    </row>
    <row r="33" spans="1:18" s="284" customFormat="1" ht="16.5" x14ac:dyDescent="0.2">
      <c r="A33" s="281"/>
      <c r="B33" s="281" t="s">
        <v>447</v>
      </c>
      <c r="C33" s="282"/>
      <c r="D33" s="282"/>
      <c r="E33" s="282"/>
      <c r="F33" s="282"/>
      <c r="G33" s="283">
        <f>SUBTOTAL(109,G2:G31)</f>
        <v>7400000000</v>
      </c>
      <c r="H33" s="283">
        <f t="shared" ref="H33:K33" si="0">SUBTOTAL(109,H2:H31)</f>
        <v>6290000000</v>
      </c>
      <c r="I33" s="283">
        <f t="shared" si="0"/>
        <v>8450000000</v>
      </c>
      <c r="J33" s="283">
        <f t="shared" si="0"/>
        <v>15650000000</v>
      </c>
      <c r="K33" s="309">
        <f t="shared" si="0"/>
        <v>27050000000</v>
      </c>
      <c r="L33" s="308">
        <f>SUBTOTAL(109,L2:L32)</f>
        <v>44750000000</v>
      </c>
      <c r="M33" s="308">
        <f>SUBTOTAL(109,M2:M31)</f>
        <v>19000000000</v>
      </c>
      <c r="N33" s="308">
        <f t="shared" ref="N33:R33" si="1">SUBTOTAL(109,N2:N31)</f>
        <v>17000000000</v>
      </c>
      <c r="O33" s="308">
        <f t="shared" si="1"/>
        <v>17000000000</v>
      </c>
      <c r="P33" s="308">
        <f t="shared" si="1"/>
        <v>19000000000</v>
      </c>
      <c r="Q33" s="308">
        <f t="shared" si="1"/>
        <v>21000000000</v>
      </c>
      <c r="R33" s="308">
        <f t="shared" si="1"/>
        <v>21000000000</v>
      </c>
    </row>
    <row r="35" spans="1:18" x14ac:dyDescent="0.2">
      <c r="H35" s="259"/>
      <c r="N35" s="259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30571-766D-4611-A758-23D35D2F8C49}">
  <dimension ref="A1:T7"/>
  <sheetViews>
    <sheetView workbookViewId="0">
      <selection activeCell="K12" sqref="K12"/>
    </sheetView>
  </sheetViews>
  <sheetFormatPr defaultColWidth="9.125" defaultRowHeight="16.5" x14ac:dyDescent="0.25"/>
  <cols>
    <col min="1" max="1" width="6.875" style="314" customWidth="1"/>
    <col min="2" max="2" width="14" style="314" customWidth="1"/>
    <col min="3" max="4" width="19.375" style="314" customWidth="1"/>
    <col min="5" max="20" width="17.75" style="314" customWidth="1"/>
    <col min="21" max="16384" width="9.125" style="314"/>
  </cols>
  <sheetData>
    <row r="1" spans="1:20" s="319" customFormat="1" ht="33" customHeight="1" x14ac:dyDescent="0.2">
      <c r="A1" s="318" t="s">
        <v>0</v>
      </c>
      <c r="B1" s="318" t="s">
        <v>16</v>
      </c>
      <c r="C1" s="325" t="s">
        <v>468</v>
      </c>
      <c r="D1" s="330" t="s">
        <v>469</v>
      </c>
      <c r="E1" s="318" t="s">
        <v>470</v>
      </c>
      <c r="F1" s="318" t="s">
        <v>471</v>
      </c>
      <c r="G1" s="318" t="s">
        <v>472</v>
      </c>
      <c r="H1" s="324" t="s">
        <v>230</v>
      </c>
      <c r="I1" s="318" t="s">
        <v>473</v>
      </c>
      <c r="J1" s="318" t="s">
        <v>474</v>
      </c>
      <c r="K1" s="318" t="s">
        <v>475</v>
      </c>
      <c r="L1" s="324" t="s">
        <v>476</v>
      </c>
      <c r="M1" s="318" t="s">
        <v>477</v>
      </c>
      <c r="N1" s="318" t="s">
        <v>478</v>
      </c>
      <c r="O1" s="318" t="s">
        <v>479</v>
      </c>
      <c r="P1" s="324" t="s">
        <v>480</v>
      </c>
      <c r="Q1" s="318" t="s">
        <v>481</v>
      </c>
      <c r="R1" s="318" t="s">
        <v>482</v>
      </c>
      <c r="S1" s="318" t="s">
        <v>483</v>
      </c>
      <c r="T1" s="324" t="s">
        <v>484</v>
      </c>
    </row>
    <row r="2" spans="1:20" s="317" customFormat="1" ht="23.25" customHeight="1" x14ac:dyDescent="0.2">
      <c r="A2" s="316">
        <v>1</v>
      </c>
      <c r="B2" s="315" t="s">
        <v>402</v>
      </c>
      <c r="C2" s="326">
        <v>50000000000</v>
      </c>
      <c r="D2" s="326">
        <v>18000000000</v>
      </c>
      <c r="E2" s="322">
        <v>2200000000</v>
      </c>
      <c r="F2" s="322">
        <v>2150000000</v>
      </c>
      <c r="G2" s="322">
        <v>2100000000</v>
      </c>
      <c r="H2" s="328">
        <v>6000000000</v>
      </c>
      <c r="I2" s="322">
        <v>4000000000</v>
      </c>
      <c r="J2" s="322">
        <v>5000000000</v>
      </c>
      <c r="K2" s="322">
        <v>11400000000</v>
      </c>
      <c r="L2" s="328">
        <v>14000000000</v>
      </c>
      <c r="M2" s="322"/>
      <c r="N2" s="322"/>
      <c r="O2" s="322"/>
      <c r="P2" s="328"/>
      <c r="Q2" s="322"/>
      <c r="R2" s="322"/>
      <c r="S2" s="322"/>
      <c r="T2" s="328"/>
    </row>
    <row r="3" spans="1:20" s="317" customFormat="1" ht="23.25" customHeight="1" x14ac:dyDescent="0.2">
      <c r="A3" s="316">
        <v>2</v>
      </c>
      <c r="B3" s="315" t="s">
        <v>403</v>
      </c>
      <c r="C3" s="326">
        <v>32000000000</v>
      </c>
      <c r="D3" s="326">
        <v>10000000000</v>
      </c>
      <c r="E3" s="322">
        <v>1700000000</v>
      </c>
      <c r="F3" s="322">
        <v>1500000000</v>
      </c>
      <c r="G3" s="322">
        <v>2000000000</v>
      </c>
      <c r="H3" s="328">
        <v>3000000000</v>
      </c>
      <c r="I3" s="322">
        <v>2200000000</v>
      </c>
      <c r="J3" s="322">
        <v>5000000000</v>
      </c>
      <c r="K3" s="322">
        <v>5000000000</v>
      </c>
      <c r="L3" s="328">
        <v>10000000000</v>
      </c>
      <c r="M3" s="322"/>
      <c r="N3" s="322"/>
      <c r="O3" s="322"/>
      <c r="P3" s="328"/>
      <c r="Q3" s="322"/>
      <c r="R3" s="322"/>
      <c r="S3" s="322"/>
      <c r="T3" s="328"/>
    </row>
    <row r="4" spans="1:20" s="317" customFormat="1" ht="23.25" customHeight="1" x14ac:dyDescent="0.2">
      <c r="A4" s="316">
        <v>3</v>
      </c>
      <c r="B4" s="315" t="s">
        <v>405</v>
      </c>
      <c r="C4" s="326">
        <v>70000000000</v>
      </c>
      <c r="D4" s="326">
        <v>30000000000</v>
      </c>
      <c r="E4" s="322">
        <v>2000000000</v>
      </c>
      <c r="F4" s="322">
        <v>1600000000</v>
      </c>
      <c r="G4" s="322">
        <v>1600000000</v>
      </c>
      <c r="H4" s="328">
        <v>5000000000</v>
      </c>
      <c r="I4" s="322">
        <v>4600000000</v>
      </c>
      <c r="J4" s="322">
        <v>13000000000</v>
      </c>
      <c r="K4" s="322">
        <v>25000000000</v>
      </c>
      <c r="L4" s="328">
        <v>27000000000</v>
      </c>
      <c r="M4" s="322"/>
      <c r="N4" s="322"/>
      <c r="O4" s="322"/>
      <c r="P4" s="328"/>
      <c r="Q4" s="322"/>
      <c r="R4" s="322"/>
      <c r="S4" s="322"/>
      <c r="T4" s="328"/>
    </row>
    <row r="5" spans="1:20" s="317" customFormat="1" ht="23.25" customHeight="1" x14ac:dyDescent="0.2">
      <c r="A5" s="320">
        <v>4</v>
      </c>
      <c r="B5" s="321" t="s">
        <v>442</v>
      </c>
      <c r="C5" s="327">
        <v>40000000000</v>
      </c>
      <c r="D5" s="327">
        <v>20000000000</v>
      </c>
      <c r="E5" s="323">
        <v>2000000000</v>
      </c>
      <c r="F5" s="323">
        <v>1100000000</v>
      </c>
      <c r="G5" s="323">
        <v>3200000000</v>
      </c>
      <c r="H5" s="329">
        <v>7000000000</v>
      </c>
      <c r="I5" s="323">
        <v>4000000000</v>
      </c>
      <c r="J5" s="323">
        <v>4000000000</v>
      </c>
      <c r="K5" s="323">
        <v>3300000000</v>
      </c>
      <c r="L5" s="329">
        <v>10000000000</v>
      </c>
      <c r="M5" s="323"/>
      <c r="N5" s="323"/>
      <c r="O5" s="323"/>
      <c r="P5" s="329"/>
      <c r="Q5" s="323"/>
      <c r="R5" s="323"/>
      <c r="S5" s="323"/>
      <c r="T5" s="329"/>
    </row>
    <row r="6" spans="1:20" s="317" customFormat="1" ht="23.25" customHeight="1" x14ac:dyDescent="0.2">
      <c r="A6" s="316">
        <v>5</v>
      </c>
      <c r="B6" s="315" t="s">
        <v>117</v>
      </c>
      <c r="C6" s="326">
        <v>5000000000</v>
      </c>
      <c r="D6" s="326">
        <v>1000000000</v>
      </c>
      <c r="E6" s="322">
        <v>40000000</v>
      </c>
      <c r="F6" s="322">
        <v>50000000</v>
      </c>
      <c r="G6" s="322">
        <v>50000000</v>
      </c>
      <c r="H6" s="328">
        <v>140000000</v>
      </c>
      <c r="I6" s="322">
        <v>50000000</v>
      </c>
      <c r="J6" s="322">
        <v>50000000</v>
      </c>
      <c r="K6" s="322">
        <v>50000000</v>
      </c>
      <c r="L6" s="328">
        <v>200000000</v>
      </c>
      <c r="M6" s="322"/>
      <c r="N6" s="322"/>
      <c r="O6" s="322"/>
      <c r="P6" s="328"/>
      <c r="Q6" s="322"/>
      <c r="R6" s="322"/>
      <c r="S6" s="322"/>
      <c r="T6" s="328"/>
    </row>
    <row r="7" spans="1:20" s="334" customFormat="1" ht="24" customHeight="1" x14ac:dyDescent="0.2">
      <c r="A7" s="359" t="s">
        <v>447</v>
      </c>
      <c r="B7" s="359"/>
      <c r="C7" s="331">
        <f>SUM(C2:C6)</f>
        <v>197000000000</v>
      </c>
      <c r="D7" s="331">
        <f>SUM(D2:D6)</f>
        <v>79000000000</v>
      </c>
      <c r="E7" s="332">
        <f t="shared" ref="E7:T7" si="0">SUM(E2:E6)</f>
        <v>7940000000</v>
      </c>
      <c r="F7" s="332">
        <f t="shared" si="0"/>
        <v>6400000000</v>
      </c>
      <c r="G7" s="332">
        <f t="shared" si="0"/>
        <v>8950000000</v>
      </c>
      <c r="H7" s="333">
        <f t="shared" si="0"/>
        <v>21140000000</v>
      </c>
      <c r="I7" s="332">
        <f t="shared" si="0"/>
        <v>14850000000</v>
      </c>
      <c r="J7" s="332">
        <f t="shared" si="0"/>
        <v>27050000000</v>
      </c>
      <c r="K7" s="332">
        <f t="shared" si="0"/>
        <v>44750000000</v>
      </c>
      <c r="L7" s="333">
        <f t="shared" si="0"/>
        <v>61200000000</v>
      </c>
      <c r="M7" s="332">
        <f t="shared" si="0"/>
        <v>0</v>
      </c>
      <c r="N7" s="332">
        <f t="shared" si="0"/>
        <v>0</v>
      </c>
      <c r="O7" s="332">
        <f t="shared" si="0"/>
        <v>0</v>
      </c>
      <c r="P7" s="333">
        <f t="shared" si="0"/>
        <v>0</v>
      </c>
      <c r="Q7" s="332">
        <f t="shared" si="0"/>
        <v>0</v>
      </c>
      <c r="R7" s="332">
        <f t="shared" si="0"/>
        <v>0</v>
      </c>
      <c r="S7" s="332">
        <f t="shared" si="0"/>
        <v>0</v>
      </c>
      <c r="T7" s="333">
        <f t="shared" si="0"/>
        <v>0</v>
      </c>
    </row>
  </sheetData>
  <mergeCells count="1">
    <mergeCell ref="A7:B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1062C-4EBF-4899-A474-A628A9DD6C68}">
  <dimension ref="B1:U299"/>
  <sheetViews>
    <sheetView topLeftCell="A41" workbookViewId="0">
      <selection activeCell="H234" sqref="H234"/>
    </sheetView>
  </sheetViews>
  <sheetFormatPr defaultColWidth="9.125" defaultRowHeight="14.25" x14ac:dyDescent="0.2"/>
  <cols>
    <col min="1" max="1" width="9.125" style="125"/>
    <col min="2" max="2" width="17.125" style="125" customWidth="1"/>
    <col min="3" max="3" width="13.625" style="125" customWidth="1"/>
    <col min="4" max="5" width="19.75" style="125" customWidth="1"/>
    <col min="6" max="6" width="16.875" style="125" customWidth="1"/>
    <col min="7" max="7" width="16.625" style="125" customWidth="1"/>
    <col min="8" max="8" width="13" style="125" customWidth="1"/>
    <col min="9" max="9" width="19.375" style="125" bestFit="1" customWidth="1"/>
    <col min="10" max="10" width="19.875" style="125" bestFit="1" customWidth="1"/>
    <col min="11" max="11" width="20.75" style="125" customWidth="1"/>
    <col min="12" max="18" width="9.125" style="125"/>
    <col min="19" max="19" width="21.75" style="125" bestFit="1" customWidth="1"/>
    <col min="20" max="20" width="15.875" style="125" bestFit="1" customWidth="1"/>
    <col min="21" max="21" width="14.875" style="125" bestFit="1" customWidth="1"/>
    <col min="22" max="16384" width="9.125" style="125"/>
  </cols>
  <sheetData>
    <row r="1" spans="2:4" x14ac:dyDescent="0.2">
      <c r="B1" s="125" t="s">
        <v>485</v>
      </c>
    </row>
    <row r="5" spans="2:4" ht="16.5" x14ac:dyDescent="0.25">
      <c r="B5" s="182" t="s">
        <v>486</v>
      </c>
    </row>
    <row r="6" spans="2:4" ht="16.5" x14ac:dyDescent="0.25">
      <c r="B6" s="182"/>
    </row>
    <row r="7" spans="2:4" x14ac:dyDescent="0.2">
      <c r="B7" s="126" t="s">
        <v>16</v>
      </c>
      <c r="C7" s="126" t="s">
        <v>396</v>
      </c>
      <c r="D7" s="126" t="s">
        <v>487</v>
      </c>
    </row>
    <row r="8" spans="2:4" x14ac:dyDescent="0.2">
      <c r="B8" s="126" t="s">
        <v>403</v>
      </c>
      <c r="C8" s="126">
        <v>1</v>
      </c>
      <c r="D8" s="127">
        <v>2417953181</v>
      </c>
    </row>
    <row r="9" spans="2:4" x14ac:dyDescent="0.2">
      <c r="B9" s="126" t="s">
        <v>402</v>
      </c>
      <c r="C9" s="126">
        <v>4</v>
      </c>
      <c r="D9" s="127">
        <v>359415773.69999999</v>
      </c>
    </row>
    <row r="10" spans="2:4" x14ac:dyDescent="0.2">
      <c r="B10" s="126" t="s">
        <v>117</v>
      </c>
      <c r="C10" s="126">
        <v>1</v>
      </c>
      <c r="D10" s="127">
        <v>1164391</v>
      </c>
    </row>
    <row r="11" spans="2:4" x14ac:dyDescent="0.2">
      <c r="B11" s="126" t="s">
        <v>410</v>
      </c>
      <c r="C11" s="126">
        <v>6</v>
      </c>
      <c r="D11" s="127">
        <v>2778533345.6999998</v>
      </c>
    </row>
    <row r="12" spans="2:4" hidden="1" x14ac:dyDescent="0.2">
      <c r="B12"/>
      <c r="C12"/>
      <c r="D12"/>
    </row>
    <row r="13" spans="2:4" x14ac:dyDescent="0.2">
      <c r="D13" s="168"/>
    </row>
    <row r="14" spans="2:4" x14ac:dyDescent="0.2">
      <c r="B14" s="126" t="s">
        <v>18</v>
      </c>
      <c r="C14" s="126" t="s">
        <v>396</v>
      </c>
      <c r="D14" s="126" t="s">
        <v>487</v>
      </c>
    </row>
    <row r="15" spans="2:4" x14ac:dyDescent="0.2">
      <c r="B15" s="126" t="s">
        <v>35</v>
      </c>
      <c r="C15" s="126">
        <v>2</v>
      </c>
      <c r="D15" s="127">
        <v>2461850809.6999998</v>
      </c>
    </row>
    <row r="16" spans="2:4" x14ac:dyDescent="0.2">
      <c r="B16" s="126" t="s">
        <v>44</v>
      </c>
      <c r="C16" s="126">
        <v>4</v>
      </c>
      <c r="D16" s="127">
        <v>316682536</v>
      </c>
    </row>
    <row r="17" spans="2:4" x14ac:dyDescent="0.2">
      <c r="B17" s="126" t="s">
        <v>410</v>
      </c>
      <c r="C17" s="126">
        <v>6</v>
      </c>
      <c r="D17" s="127">
        <v>2778533345.6999998</v>
      </c>
    </row>
    <row r="18" spans="2:4" hidden="1" x14ac:dyDescent="0.2"/>
    <row r="20" spans="2:4" x14ac:dyDescent="0.2">
      <c r="B20" s="126" t="s">
        <v>8</v>
      </c>
      <c r="C20" s="126" t="s">
        <v>396</v>
      </c>
      <c r="D20" s="126" t="s">
        <v>487</v>
      </c>
    </row>
    <row r="21" spans="2:4" x14ac:dyDescent="0.2">
      <c r="B21" s="126" t="s">
        <v>51</v>
      </c>
      <c r="C21" s="126">
        <v>4</v>
      </c>
      <c r="D21" s="127">
        <v>2752766176.6999998</v>
      </c>
    </row>
    <row r="22" spans="2:4" x14ac:dyDescent="0.2">
      <c r="B22" s="126" t="s">
        <v>70</v>
      </c>
      <c r="C22" s="126">
        <v>1</v>
      </c>
      <c r="D22" s="127">
        <v>24602778</v>
      </c>
    </row>
    <row r="23" spans="2:4" x14ac:dyDescent="0.2">
      <c r="B23" s="126" t="s">
        <v>74</v>
      </c>
      <c r="C23" s="126">
        <v>1</v>
      </c>
      <c r="D23" s="127">
        <v>1164391</v>
      </c>
    </row>
    <row r="24" spans="2:4" x14ac:dyDescent="0.2">
      <c r="B24" s="126" t="s">
        <v>410</v>
      </c>
      <c r="C24" s="126">
        <v>6</v>
      </c>
      <c r="D24" s="127">
        <v>2778533345.6999998</v>
      </c>
    </row>
    <row r="25" spans="2:4" x14ac:dyDescent="0.2">
      <c r="B25"/>
      <c r="C25"/>
      <c r="D25"/>
    </row>
    <row r="26" spans="2:4" x14ac:dyDescent="0.2">
      <c r="D26" s="168"/>
    </row>
    <row r="27" spans="2:4" x14ac:dyDescent="0.2">
      <c r="B27" s="126" t="s">
        <v>6</v>
      </c>
      <c r="C27" s="126" t="s">
        <v>396</v>
      </c>
      <c r="D27" s="126" t="s">
        <v>487</v>
      </c>
    </row>
    <row r="28" spans="2:4" x14ac:dyDescent="0.2">
      <c r="B28" s="126" t="s">
        <v>317</v>
      </c>
      <c r="C28" s="126">
        <v>1</v>
      </c>
      <c r="D28" s="127">
        <v>2417953181</v>
      </c>
    </row>
    <row r="29" spans="2:4" x14ac:dyDescent="0.2">
      <c r="B29" s="126" t="s">
        <v>40</v>
      </c>
      <c r="C29" s="126">
        <v>1</v>
      </c>
      <c r="D29" s="127">
        <v>155544997</v>
      </c>
    </row>
    <row r="30" spans="2:4" x14ac:dyDescent="0.2">
      <c r="B30" s="126" t="s">
        <v>79</v>
      </c>
      <c r="C30" s="126">
        <v>1</v>
      </c>
      <c r="D30" s="127">
        <v>135370370</v>
      </c>
    </row>
    <row r="31" spans="2:4" x14ac:dyDescent="0.2">
      <c r="B31" s="126" t="s">
        <v>133</v>
      </c>
      <c r="C31" s="126">
        <v>1</v>
      </c>
      <c r="D31" s="127">
        <v>43897628.700000003</v>
      </c>
    </row>
    <row r="32" spans="2:4" x14ac:dyDescent="0.2">
      <c r="B32" s="126" t="s">
        <v>31</v>
      </c>
      <c r="C32" s="126">
        <v>1</v>
      </c>
      <c r="D32" s="127">
        <v>24602778</v>
      </c>
    </row>
    <row r="33" spans="2:11" x14ac:dyDescent="0.2">
      <c r="B33" s="126" t="s">
        <v>117</v>
      </c>
      <c r="C33" s="126">
        <v>1</v>
      </c>
      <c r="D33" s="127">
        <v>1164391</v>
      </c>
    </row>
    <row r="34" spans="2:11" x14ac:dyDescent="0.2">
      <c r="B34" s="126" t="s">
        <v>410</v>
      </c>
      <c r="C34" s="126">
        <v>6</v>
      </c>
      <c r="D34" s="127">
        <v>2778533345.6999998</v>
      </c>
    </row>
    <row r="37" spans="2:11" ht="14.25" customHeight="1" x14ac:dyDescent="0.2"/>
    <row r="39" spans="2:11" x14ac:dyDescent="0.2">
      <c r="B39" s="125" t="s">
        <v>488</v>
      </c>
    </row>
    <row r="41" spans="2:11" x14ac:dyDescent="0.2">
      <c r="I41"/>
      <c r="J41"/>
      <c r="K41"/>
    </row>
    <row r="42" spans="2:11" x14ac:dyDescent="0.2">
      <c r="I42"/>
      <c r="J42"/>
      <c r="K42"/>
    </row>
    <row r="43" spans="2:11" x14ac:dyDescent="0.2">
      <c r="I43"/>
      <c r="J43"/>
      <c r="K43"/>
    </row>
    <row r="44" spans="2:11" x14ac:dyDescent="0.2">
      <c r="I44"/>
      <c r="J44"/>
      <c r="K44"/>
    </row>
    <row r="45" spans="2:11" ht="16.5" x14ac:dyDescent="0.25">
      <c r="B45" s="180" t="s">
        <v>489</v>
      </c>
      <c r="K45"/>
    </row>
    <row r="46" spans="2:11" ht="16.5" x14ac:dyDescent="0.25">
      <c r="B46" s="180"/>
      <c r="K46"/>
    </row>
    <row r="47" spans="2:11" x14ac:dyDescent="0.2">
      <c r="B47" s="265" t="s">
        <v>16</v>
      </c>
      <c r="C47" s="265" t="s">
        <v>396</v>
      </c>
      <c r="D47" s="265" t="s">
        <v>487</v>
      </c>
      <c r="I47"/>
    </row>
    <row r="48" spans="2:11" x14ac:dyDescent="0.2">
      <c r="B48" s="126" t="s">
        <v>442</v>
      </c>
      <c r="C48" s="126">
        <v>4</v>
      </c>
      <c r="D48" s="127">
        <v>1401805301.1851852</v>
      </c>
      <c r="I48"/>
    </row>
    <row r="49" spans="2:11" x14ac:dyDescent="0.2">
      <c r="B49" s="126" t="s">
        <v>402</v>
      </c>
      <c r="C49" s="126">
        <v>5</v>
      </c>
      <c r="D49" s="127">
        <v>1259475463.7407408</v>
      </c>
      <c r="I49"/>
    </row>
    <row r="50" spans="2:11" x14ac:dyDescent="0.2">
      <c r="B50" s="126" t="s">
        <v>405</v>
      </c>
      <c r="C50" s="126">
        <v>6</v>
      </c>
      <c r="D50" s="127">
        <v>817874693.29629624</v>
      </c>
    </row>
    <row r="51" spans="2:11" x14ac:dyDescent="0.2">
      <c r="B51" s="126" t="s">
        <v>117</v>
      </c>
      <c r="C51" s="126">
        <v>2</v>
      </c>
      <c r="D51" s="127">
        <v>3798612</v>
      </c>
      <c r="I51"/>
    </row>
    <row r="52" spans="2:11" x14ac:dyDescent="0.2">
      <c r="B52" s="126" t="s">
        <v>410</v>
      </c>
      <c r="C52" s="126">
        <v>17</v>
      </c>
      <c r="D52" s="127">
        <v>3482954070.2222223</v>
      </c>
      <c r="I52"/>
    </row>
    <row r="53" spans="2:11" x14ac:dyDescent="0.2">
      <c r="B53"/>
      <c r="C53"/>
      <c r="D53"/>
      <c r="I53"/>
    </row>
    <row r="54" spans="2:11" x14ac:dyDescent="0.2">
      <c r="I54"/>
    </row>
    <row r="55" spans="2:11" x14ac:dyDescent="0.2">
      <c r="B55" s="126" t="s">
        <v>18</v>
      </c>
      <c r="C55" s="126" t="s">
        <v>396</v>
      </c>
      <c r="D55" s="126" t="s">
        <v>487</v>
      </c>
      <c r="K55"/>
    </row>
    <row r="56" spans="2:11" x14ac:dyDescent="0.2">
      <c r="B56" s="126" t="s">
        <v>44</v>
      </c>
      <c r="C56" s="126">
        <v>15</v>
      </c>
      <c r="D56" s="127">
        <v>2262900829.2222223</v>
      </c>
      <c r="K56"/>
    </row>
    <row r="57" spans="2:11" x14ac:dyDescent="0.2">
      <c r="B57" s="126" t="s">
        <v>35</v>
      </c>
      <c r="C57" s="126">
        <v>2</v>
      </c>
      <c r="D57" s="127">
        <v>1220053241</v>
      </c>
      <c r="K57"/>
    </row>
    <row r="58" spans="2:11" x14ac:dyDescent="0.2">
      <c r="B58" s="126" t="s">
        <v>410</v>
      </c>
      <c r="C58" s="126">
        <v>17</v>
      </c>
      <c r="D58" s="127">
        <v>3482954070.2222223</v>
      </c>
      <c r="K58"/>
    </row>
    <row r="59" spans="2:11" x14ac:dyDescent="0.2">
      <c r="D59" s="168"/>
      <c r="K59"/>
    </row>
    <row r="60" spans="2:11" x14ac:dyDescent="0.2">
      <c r="D60" s="168"/>
      <c r="K60"/>
    </row>
    <row r="61" spans="2:11" x14ac:dyDescent="0.2">
      <c r="D61" s="168"/>
      <c r="K61"/>
    </row>
    <row r="62" spans="2:11" x14ac:dyDescent="0.2">
      <c r="D62" s="168"/>
      <c r="K62"/>
    </row>
    <row r="63" spans="2:11" x14ac:dyDescent="0.2">
      <c r="I63"/>
      <c r="J63"/>
      <c r="K63"/>
    </row>
    <row r="64" spans="2:11" x14ac:dyDescent="0.2">
      <c r="B64" s="126" t="s">
        <v>8</v>
      </c>
      <c r="C64" s="126" t="s">
        <v>396</v>
      </c>
      <c r="D64" s="126" t="s">
        <v>487</v>
      </c>
      <c r="G64"/>
      <c r="H64"/>
      <c r="I64"/>
      <c r="J64"/>
      <c r="K64"/>
    </row>
    <row r="65" spans="2:11" x14ac:dyDescent="0.2">
      <c r="B65" s="126" t="s">
        <v>51</v>
      </c>
      <c r="C65" s="126">
        <v>8</v>
      </c>
      <c r="D65" s="127">
        <v>3377186939.4814816</v>
      </c>
      <c r="G65"/>
      <c r="H65"/>
      <c r="I65"/>
      <c r="J65"/>
      <c r="K65"/>
    </row>
    <row r="66" spans="2:11" x14ac:dyDescent="0.2">
      <c r="B66" s="126" t="s">
        <v>41</v>
      </c>
      <c r="C66" s="126">
        <v>6</v>
      </c>
      <c r="D66" s="127">
        <v>67212962.740740746</v>
      </c>
      <c r="G66"/>
      <c r="H66"/>
      <c r="I66"/>
      <c r="J66"/>
      <c r="K66"/>
    </row>
    <row r="67" spans="2:11" x14ac:dyDescent="0.2">
      <c r="B67" s="126" t="s">
        <v>70</v>
      </c>
      <c r="C67" s="126">
        <v>1</v>
      </c>
      <c r="D67" s="127">
        <v>34755556</v>
      </c>
      <c r="G67"/>
      <c r="H67"/>
      <c r="I67"/>
      <c r="J67"/>
      <c r="K67"/>
    </row>
    <row r="68" spans="2:11" x14ac:dyDescent="0.2">
      <c r="B68" s="126" t="s">
        <v>74</v>
      </c>
      <c r="C68" s="126">
        <v>2</v>
      </c>
      <c r="D68" s="127">
        <v>3798612</v>
      </c>
      <c r="G68"/>
      <c r="H68"/>
      <c r="I68"/>
      <c r="J68"/>
      <c r="K68"/>
    </row>
    <row r="69" spans="2:11" x14ac:dyDescent="0.2">
      <c r="B69" s="126" t="s">
        <v>410</v>
      </c>
      <c r="C69" s="126">
        <v>17</v>
      </c>
      <c r="D69" s="127">
        <v>3482954070.2222223</v>
      </c>
      <c r="G69"/>
      <c r="H69"/>
      <c r="I69"/>
      <c r="J69"/>
      <c r="K69"/>
    </row>
    <row r="70" spans="2:11" x14ac:dyDescent="0.2">
      <c r="B70"/>
      <c r="C70"/>
      <c r="D70"/>
      <c r="G70"/>
      <c r="H70"/>
      <c r="I70"/>
      <c r="J70"/>
      <c r="K70"/>
    </row>
    <row r="71" spans="2:11" x14ac:dyDescent="0.2">
      <c r="B71"/>
      <c r="C71"/>
      <c r="D71"/>
      <c r="G71"/>
      <c r="H71"/>
      <c r="I71"/>
      <c r="J71"/>
      <c r="K71"/>
    </row>
    <row r="72" spans="2:11" x14ac:dyDescent="0.2">
      <c r="D72" s="168"/>
      <c r="G72"/>
      <c r="H72"/>
      <c r="I72"/>
      <c r="J72"/>
      <c r="K72"/>
    </row>
    <row r="73" spans="2:11" x14ac:dyDescent="0.2">
      <c r="D73" s="168"/>
      <c r="G73"/>
      <c r="H73"/>
      <c r="I73"/>
      <c r="J73"/>
      <c r="K73"/>
    </row>
    <row r="74" spans="2:11" x14ac:dyDescent="0.2">
      <c r="D74" s="168"/>
      <c r="G74"/>
      <c r="H74"/>
      <c r="I74"/>
      <c r="J74"/>
      <c r="K74"/>
    </row>
    <row r="75" spans="2:11" x14ac:dyDescent="0.2">
      <c r="D75" s="168"/>
      <c r="G75"/>
      <c r="H75"/>
      <c r="I75"/>
      <c r="J75"/>
      <c r="K75"/>
    </row>
    <row r="76" spans="2:11" x14ac:dyDescent="0.2">
      <c r="B76" s="126"/>
      <c r="D76" s="168"/>
      <c r="G76"/>
      <c r="H76"/>
      <c r="I76"/>
      <c r="J76"/>
      <c r="K76"/>
    </row>
    <row r="77" spans="2:11" x14ac:dyDescent="0.2">
      <c r="B77" s="126" t="s">
        <v>6</v>
      </c>
      <c r="C77" s="126" t="s">
        <v>396</v>
      </c>
      <c r="D77" s="126" t="s">
        <v>487</v>
      </c>
    </row>
    <row r="78" spans="2:11" x14ac:dyDescent="0.2">
      <c r="B78" s="126" t="s">
        <v>102</v>
      </c>
      <c r="C78" s="126">
        <v>3</v>
      </c>
      <c r="D78" s="127">
        <v>2465226482</v>
      </c>
    </row>
    <row r="79" spans="2:11" x14ac:dyDescent="0.2">
      <c r="B79" s="126" t="s">
        <v>317</v>
      </c>
      <c r="C79" s="126">
        <v>1</v>
      </c>
      <c r="D79" s="127">
        <v>530031249.99999994</v>
      </c>
    </row>
    <row r="80" spans="2:11" x14ac:dyDescent="0.2">
      <c r="B80" s="126" t="s">
        <v>40</v>
      </c>
      <c r="C80" s="126">
        <v>4</v>
      </c>
      <c r="D80" s="127">
        <v>358706985.48148143</v>
      </c>
    </row>
    <row r="81" spans="2:11" x14ac:dyDescent="0.2">
      <c r="B81" s="126" t="s">
        <v>98</v>
      </c>
      <c r="C81" s="126">
        <v>4</v>
      </c>
      <c r="D81" s="127">
        <v>90190740.740740746</v>
      </c>
      <c r="G81" s="128" t="s">
        <v>16</v>
      </c>
      <c r="H81" s="128" t="s">
        <v>396</v>
      </c>
      <c r="I81" s="128" t="s">
        <v>487</v>
      </c>
      <c r="J81" s="128" t="s">
        <v>490</v>
      </c>
      <c r="K81" s="128" t="s">
        <v>491</v>
      </c>
    </row>
    <row r="82" spans="2:11" ht="15" x14ac:dyDescent="0.25">
      <c r="B82" s="126" t="s">
        <v>31</v>
      </c>
      <c r="C82" s="126">
        <v>1</v>
      </c>
      <c r="D82" s="127">
        <v>26000000</v>
      </c>
      <c r="E82" s="168"/>
      <c r="G82" s="272" t="s">
        <v>442</v>
      </c>
      <c r="H82" s="272">
        <v>5</v>
      </c>
      <c r="I82" s="273">
        <v>5406131502</v>
      </c>
      <c r="J82" s="273">
        <v>4000000000</v>
      </c>
      <c r="K82" s="274">
        <f t="shared" ref="K82:K87" si="0">+I82/J82</f>
        <v>1.3515328755</v>
      </c>
    </row>
    <row r="83" spans="2:11" ht="15" x14ac:dyDescent="0.25">
      <c r="B83" s="126" t="s">
        <v>165</v>
      </c>
      <c r="C83" s="126">
        <v>1</v>
      </c>
      <c r="D83" s="127">
        <v>4666667</v>
      </c>
      <c r="G83" s="272" t="s">
        <v>405</v>
      </c>
      <c r="H83" s="272">
        <v>11</v>
      </c>
      <c r="I83" s="273">
        <v>1979907742.9823456</v>
      </c>
      <c r="J83" s="273">
        <v>4000000000</v>
      </c>
      <c r="K83" s="274">
        <f t="shared" si="0"/>
        <v>0.49497693574558638</v>
      </c>
    </row>
    <row r="84" spans="2:11" ht="15" x14ac:dyDescent="0.25">
      <c r="B84" s="126" t="s">
        <v>91</v>
      </c>
      <c r="C84" s="126">
        <v>1</v>
      </c>
      <c r="D84" s="127">
        <v>4333333</v>
      </c>
      <c r="G84" s="272" t="s">
        <v>402</v>
      </c>
      <c r="H84" s="272">
        <v>8</v>
      </c>
      <c r="I84" s="273">
        <v>605538592.70000005</v>
      </c>
      <c r="J84" s="273">
        <v>4800000000</v>
      </c>
      <c r="K84" s="274">
        <f t="shared" si="0"/>
        <v>0.12615387347916668</v>
      </c>
    </row>
    <row r="85" spans="2:11" ht="15" x14ac:dyDescent="0.25">
      <c r="B85" s="126" t="s">
        <v>117</v>
      </c>
      <c r="C85" s="126">
        <v>2</v>
      </c>
      <c r="D85" s="127">
        <v>3798612</v>
      </c>
      <c r="G85" s="272" t="s">
        <v>117</v>
      </c>
      <c r="H85" s="272">
        <v>4</v>
      </c>
      <c r="I85" s="273">
        <v>23415555.555555552</v>
      </c>
      <c r="J85" s="273">
        <v>50000000</v>
      </c>
      <c r="K85" s="274">
        <f t="shared" si="0"/>
        <v>0.46831111111111107</v>
      </c>
    </row>
    <row r="86" spans="2:11" ht="15" x14ac:dyDescent="0.25">
      <c r="B86" s="126" t="s">
        <v>410</v>
      </c>
      <c r="C86" s="126">
        <v>17</v>
      </c>
      <c r="D86" s="127">
        <v>3482954070.2222223</v>
      </c>
      <c r="G86" s="272" t="s">
        <v>403</v>
      </c>
      <c r="H86" s="272">
        <v>0</v>
      </c>
      <c r="I86" s="273">
        <v>0</v>
      </c>
      <c r="J86" s="273">
        <v>2800000000</v>
      </c>
      <c r="K86" s="274">
        <f t="shared" si="0"/>
        <v>0</v>
      </c>
    </row>
    <row r="87" spans="2:11" x14ac:dyDescent="0.2">
      <c r="B87"/>
      <c r="C87"/>
      <c r="D87"/>
      <c r="G87" s="271" t="s">
        <v>410</v>
      </c>
      <c r="H87" s="271">
        <f>SUM(H82:H86)</f>
        <v>28</v>
      </c>
      <c r="I87" s="275">
        <f>SUM(I82:I86)</f>
        <v>8014993393.2379007</v>
      </c>
      <c r="J87" s="275">
        <f>SUM(J82:J86)</f>
        <v>15650000000</v>
      </c>
      <c r="K87" s="276">
        <f t="shared" si="0"/>
        <v>0.51214015292254955</v>
      </c>
    </row>
    <row r="88" spans="2:11" x14ac:dyDescent="0.2">
      <c r="B88"/>
      <c r="C88"/>
      <c r="D88"/>
    </row>
    <row r="89" spans="2:11" ht="28.5" x14ac:dyDescent="0.2">
      <c r="B89" s="354" t="s">
        <v>16</v>
      </c>
      <c r="C89" s="355" t="s">
        <v>492</v>
      </c>
      <c r="G89" s="354" t="s">
        <v>16</v>
      </c>
      <c r="H89" s="355" t="s">
        <v>492</v>
      </c>
      <c r="I89" s="264" t="s">
        <v>493</v>
      </c>
      <c r="J89" s="264" t="s">
        <v>494</v>
      </c>
    </row>
    <row r="90" spans="2:11" x14ac:dyDescent="0.2">
      <c r="B90" s="126" t="s">
        <v>442</v>
      </c>
      <c r="C90" s="127">
        <v>290724742.64444447</v>
      </c>
      <c r="G90" s="126" t="s">
        <v>442</v>
      </c>
      <c r="H90" s="127">
        <v>290724742.64444447</v>
      </c>
      <c r="I90" s="277">
        <v>2400000000</v>
      </c>
      <c r="J90" s="278">
        <f>+H90/I90</f>
        <v>0.12113530943518519</v>
      </c>
    </row>
    <row r="91" spans="2:11" x14ac:dyDescent="0.2">
      <c r="B91" s="126" t="s">
        <v>402</v>
      </c>
      <c r="C91" s="127">
        <v>262321759.54814816</v>
      </c>
      <c r="G91" s="126" t="s">
        <v>402</v>
      </c>
      <c r="H91" s="127">
        <v>262321759.54814816</v>
      </c>
      <c r="I91" s="277">
        <v>2400000000</v>
      </c>
      <c r="J91" s="278">
        <f>+H91/I91</f>
        <v>0.10930073314506174</v>
      </c>
    </row>
    <row r="92" spans="2:11" x14ac:dyDescent="0.2">
      <c r="B92" s="126" t="s">
        <v>405</v>
      </c>
      <c r="C92" s="127">
        <v>120514043.18888888</v>
      </c>
      <c r="G92" s="126" t="s">
        <v>405</v>
      </c>
      <c r="H92" s="127">
        <v>120514043.18888888</v>
      </c>
      <c r="I92" s="277">
        <v>2400000000</v>
      </c>
      <c r="J92" s="278">
        <f>+H92/I92</f>
        <v>5.0214184662037031E-2</v>
      </c>
    </row>
    <row r="93" spans="2:11" x14ac:dyDescent="0.2">
      <c r="B93" s="126" t="s">
        <v>117</v>
      </c>
      <c r="C93" s="127"/>
      <c r="G93" s="126" t="s">
        <v>117</v>
      </c>
      <c r="H93" s="127"/>
      <c r="I93" s="277">
        <v>2400000000</v>
      </c>
      <c r="J93" s="278">
        <f>+H93/I93</f>
        <v>0</v>
      </c>
    </row>
    <row r="94" spans="2:11" ht="15" hidden="1" x14ac:dyDescent="0.2">
      <c r="B94" s="126" t="s">
        <v>410</v>
      </c>
      <c r="C94" s="266">
        <v>673560545.38148153</v>
      </c>
      <c r="G94" s="126" t="s">
        <v>410</v>
      </c>
      <c r="H94" s="266">
        <v>673560545.38148153</v>
      </c>
      <c r="I94" s="279">
        <f>SUM(I90:I93)</f>
        <v>9600000000</v>
      </c>
      <c r="J94" s="278">
        <f t="shared" ref="J94:J95" si="1">+H94/I94</f>
        <v>7.0162556810570986E-2</v>
      </c>
    </row>
    <row r="95" spans="2:11" ht="15" x14ac:dyDescent="0.25">
      <c r="B95"/>
      <c r="C95"/>
      <c r="G95"/>
      <c r="H95"/>
      <c r="I95" s="263">
        <f>SUM(I90:I93)</f>
        <v>9600000000</v>
      </c>
      <c r="J95" s="280">
        <f t="shared" si="1"/>
        <v>0</v>
      </c>
    </row>
    <row r="96" spans="2:11" ht="15" x14ac:dyDescent="0.25">
      <c r="C96" s="302"/>
      <c r="D96" s="303"/>
      <c r="E96" s="304"/>
    </row>
    <row r="97" spans="2:4" ht="16.5" x14ac:dyDescent="0.25">
      <c r="B97" s="181" t="s">
        <v>495</v>
      </c>
    </row>
    <row r="98" spans="2:4" ht="16.5" x14ac:dyDescent="0.25">
      <c r="B98" s="181"/>
    </row>
    <row r="99" spans="2:4" x14ac:dyDescent="0.2">
      <c r="B99" s="126" t="s">
        <v>16</v>
      </c>
      <c r="C99" s="126" t="s">
        <v>396</v>
      </c>
      <c r="D99" s="126" t="s">
        <v>487</v>
      </c>
    </row>
    <row r="100" spans="2:4" x14ac:dyDescent="0.2">
      <c r="B100" s="126" t="s">
        <v>442</v>
      </c>
      <c r="C100" s="126">
        <v>25</v>
      </c>
      <c r="D100" s="127">
        <v>18124538107.462963</v>
      </c>
    </row>
    <row r="101" spans="2:4" x14ac:dyDescent="0.2">
      <c r="B101" s="126" t="s">
        <v>402</v>
      </c>
      <c r="C101" s="126">
        <v>63</v>
      </c>
      <c r="D101" s="127">
        <v>7916407969.0296288</v>
      </c>
    </row>
    <row r="102" spans="2:4" x14ac:dyDescent="0.2">
      <c r="B102" s="126" t="s">
        <v>405</v>
      </c>
      <c r="C102" s="126">
        <v>30</v>
      </c>
      <c r="D102" s="127">
        <v>5949390757.9453077</v>
      </c>
    </row>
    <row r="103" spans="2:4" x14ac:dyDescent="0.2">
      <c r="B103" s="126" t="s">
        <v>403</v>
      </c>
      <c r="C103" s="126">
        <v>16</v>
      </c>
      <c r="D103" s="127">
        <v>5327769704.1481476</v>
      </c>
    </row>
    <row r="104" spans="2:4" x14ac:dyDescent="0.2">
      <c r="B104" s="126" t="s">
        <v>117</v>
      </c>
      <c r="C104" s="126">
        <v>16</v>
      </c>
      <c r="D104" s="127">
        <v>128472953.14814812</v>
      </c>
    </row>
    <row r="105" spans="2:4" x14ac:dyDescent="0.2">
      <c r="B105" s="126" t="s">
        <v>410</v>
      </c>
      <c r="C105" s="126">
        <v>150</v>
      </c>
      <c r="D105" s="127">
        <v>37446579491.734192</v>
      </c>
    </row>
    <row r="107" spans="2:4" x14ac:dyDescent="0.2">
      <c r="B107" s="126" t="s">
        <v>18</v>
      </c>
      <c r="C107" s="126" t="s">
        <v>396</v>
      </c>
      <c r="D107" s="126" t="s">
        <v>487</v>
      </c>
    </row>
    <row r="108" spans="2:4" x14ac:dyDescent="0.2">
      <c r="B108" s="126" t="s">
        <v>35</v>
      </c>
      <c r="C108" s="126">
        <v>28</v>
      </c>
      <c r="D108" s="127">
        <v>24029715127.43457</v>
      </c>
    </row>
    <row r="109" spans="2:4" x14ac:dyDescent="0.2">
      <c r="B109" s="126" t="s">
        <v>44</v>
      </c>
      <c r="C109" s="126">
        <v>122</v>
      </c>
      <c r="D109" s="127">
        <v>13416864364.299629</v>
      </c>
    </row>
    <row r="110" spans="2:4" x14ac:dyDescent="0.2">
      <c r="B110" s="126" t="s">
        <v>410</v>
      </c>
      <c r="C110" s="126">
        <v>150</v>
      </c>
      <c r="D110" s="127">
        <v>37446579491.734184</v>
      </c>
    </row>
    <row r="112" spans="2:4" x14ac:dyDescent="0.2">
      <c r="B112" s="126" t="s">
        <v>8</v>
      </c>
      <c r="C112" s="126" t="s">
        <v>396</v>
      </c>
      <c r="D112" s="126" t="s">
        <v>487</v>
      </c>
    </row>
    <row r="113" spans="2:4" x14ac:dyDescent="0.2">
      <c r="B113" s="126" t="s">
        <v>51</v>
      </c>
      <c r="C113" s="126">
        <v>64</v>
      </c>
      <c r="D113" s="127">
        <v>33902353442.273697</v>
      </c>
    </row>
    <row r="114" spans="2:4" x14ac:dyDescent="0.2">
      <c r="B114" s="126" t="s">
        <v>121</v>
      </c>
      <c r="C114" s="126">
        <v>4</v>
      </c>
      <c r="D114" s="127">
        <v>1574074075.1111109</v>
      </c>
    </row>
    <row r="115" spans="2:4" x14ac:dyDescent="0.2">
      <c r="B115" s="126" t="s">
        <v>41</v>
      </c>
      <c r="C115" s="126">
        <v>57</v>
      </c>
      <c r="D115" s="127">
        <v>1083526270.645679</v>
      </c>
    </row>
    <row r="116" spans="2:4" x14ac:dyDescent="0.2">
      <c r="B116" s="126" t="s">
        <v>32</v>
      </c>
      <c r="C116" s="126">
        <v>3</v>
      </c>
      <c r="D116" s="127">
        <v>389555555.55555558</v>
      </c>
    </row>
    <row r="117" spans="2:4" x14ac:dyDescent="0.2">
      <c r="B117" s="126" t="s">
        <v>74</v>
      </c>
      <c r="C117" s="126">
        <v>17</v>
      </c>
      <c r="D117" s="127">
        <v>315426249.14814818</v>
      </c>
    </row>
    <row r="118" spans="2:4" x14ac:dyDescent="0.2">
      <c r="B118" s="126" t="s">
        <v>70</v>
      </c>
      <c r="C118" s="126">
        <v>5</v>
      </c>
      <c r="D118" s="127">
        <v>181643899</v>
      </c>
    </row>
    <row r="119" spans="2:4" x14ac:dyDescent="0.2">
      <c r="B119" s="126" t="s">
        <v>410</v>
      </c>
      <c r="C119" s="126">
        <v>150</v>
      </c>
      <c r="D119" s="127">
        <v>37446579491.734184</v>
      </c>
    </row>
    <row r="121" spans="2:4" x14ac:dyDescent="0.2">
      <c r="B121" s="126" t="s">
        <v>6</v>
      </c>
      <c r="C121" s="126" t="s">
        <v>396</v>
      </c>
      <c r="D121" s="126" t="s">
        <v>487</v>
      </c>
    </row>
    <row r="122" spans="2:4" x14ac:dyDescent="0.2">
      <c r="B122" s="126" t="s">
        <v>31</v>
      </c>
      <c r="C122" s="126">
        <v>17</v>
      </c>
      <c r="D122" s="127">
        <v>16657539679.24074</v>
      </c>
    </row>
    <row r="123" spans="2:4" x14ac:dyDescent="0.2">
      <c r="B123" s="126" t="s">
        <v>40</v>
      </c>
      <c r="C123" s="126">
        <v>66</v>
      </c>
      <c r="D123" s="127">
        <v>6365138425.707036</v>
      </c>
    </row>
    <row r="124" spans="2:4" x14ac:dyDescent="0.2">
      <c r="B124" s="126" t="s">
        <v>79</v>
      </c>
      <c r="C124" s="126">
        <v>9</v>
      </c>
      <c r="D124" s="127">
        <v>5967452623.2716045</v>
      </c>
    </row>
    <row r="125" spans="2:4" x14ac:dyDescent="0.2">
      <c r="B125" s="126" t="s">
        <v>317</v>
      </c>
      <c r="C125" s="126">
        <v>3</v>
      </c>
      <c r="D125" s="127">
        <v>3000669616</v>
      </c>
    </row>
    <row r="126" spans="2:4" x14ac:dyDescent="0.2">
      <c r="B126" s="126" t="s">
        <v>102</v>
      </c>
      <c r="C126" s="126">
        <v>8</v>
      </c>
      <c r="D126" s="127">
        <v>2979928928</v>
      </c>
    </row>
    <row r="127" spans="2:4" x14ac:dyDescent="0.2">
      <c r="B127" s="126" t="s">
        <v>133</v>
      </c>
      <c r="C127" s="126">
        <v>9</v>
      </c>
      <c r="D127" s="127">
        <v>1368372507.7740738</v>
      </c>
    </row>
    <row r="128" spans="2:4" x14ac:dyDescent="0.2">
      <c r="B128" s="126" t="s">
        <v>98</v>
      </c>
      <c r="C128" s="126">
        <v>12</v>
      </c>
      <c r="D128" s="127">
        <v>540092369.22222221</v>
      </c>
    </row>
    <row r="129" spans="2:7" x14ac:dyDescent="0.2">
      <c r="B129" s="126" t="s">
        <v>193</v>
      </c>
      <c r="C129" s="126">
        <v>1</v>
      </c>
      <c r="D129" s="127">
        <v>223953518.51851851</v>
      </c>
    </row>
    <row r="130" spans="2:7" x14ac:dyDescent="0.2">
      <c r="B130" s="126" t="s">
        <v>165</v>
      </c>
      <c r="C130" s="126">
        <v>6</v>
      </c>
      <c r="D130" s="127">
        <v>165645908.22222221</v>
      </c>
    </row>
    <row r="131" spans="2:7" x14ac:dyDescent="0.2">
      <c r="B131" s="126" t="s">
        <v>117</v>
      </c>
      <c r="C131" s="126">
        <v>16</v>
      </c>
      <c r="D131" s="127">
        <v>128472953.14814812</v>
      </c>
    </row>
    <row r="132" spans="2:7" x14ac:dyDescent="0.2">
      <c r="B132" s="126" t="s">
        <v>91</v>
      </c>
      <c r="C132" s="126">
        <v>3</v>
      </c>
      <c r="D132" s="127">
        <v>49312962.629629627</v>
      </c>
    </row>
    <row r="133" spans="2:7" x14ac:dyDescent="0.2">
      <c r="B133" s="126" t="s">
        <v>410</v>
      </c>
      <c r="C133" s="126">
        <v>150</v>
      </c>
      <c r="D133" s="127">
        <v>37446579491.734207</v>
      </c>
    </row>
    <row r="143" spans="2:7" x14ac:dyDescent="0.2">
      <c r="B143" s="126" t="s">
        <v>16</v>
      </c>
      <c r="C143" s="126" t="s">
        <v>8</v>
      </c>
      <c r="D143" s="126" t="s">
        <v>396</v>
      </c>
      <c r="E143" s="126" t="s">
        <v>487</v>
      </c>
    </row>
    <row r="144" spans="2:7" x14ac:dyDescent="0.2">
      <c r="B144" s="126" t="s">
        <v>442</v>
      </c>
      <c r="C144" s="126"/>
      <c r="D144" s="126">
        <v>25</v>
      </c>
      <c r="E144" s="127">
        <v>18124538107.462963</v>
      </c>
      <c r="G144" s="125">
        <f>+E144/20000000000</f>
        <v>0.90622690537314821</v>
      </c>
    </row>
    <row r="145" spans="2:5" x14ac:dyDescent="0.2">
      <c r="B145" s="126"/>
      <c r="C145" s="126" t="s">
        <v>32</v>
      </c>
      <c r="D145" s="126">
        <v>2</v>
      </c>
      <c r="E145" s="127">
        <v>369000000</v>
      </c>
    </row>
    <row r="146" spans="2:5" x14ac:dyDescent="0.2">
      <c r="B146" s="126"/>
      <c r="C146" s="126" t="s">
        <v>51</v>
      </c>
      <c r="D146" s="126">
        <v>19</v>
      </c>
      <c r="E146" s="127">
        <v>17663958440.796295</v>
      </c>
    </row>
    <row r="147" spans="2:5" x14ac:dyDescent="0.2">
      <c r="B147" s="126"/>
      <c r="C147" s="126" t="s">
        <v>41</v>
      </c>
      <c r="D147" s="126">
        <v>4</v>
      </c>
      <c r="E147" s="127">
        <v>91579666.666666672</v>
      </c>
    </row>
    <row r="148" spans="2:5" x14ac:dyDescent="0.2">
      <c r="B148" s="126" t="s">
        <v>402</v>
      </c>
      <c r="C148" s="126"/>
      <c r="D148" s="126">
        <v>63</v>
      </c>
      <c r="E148" s="127">
        <v>7916407969.0296307</v>
      </c>
    </row>
    <row r="149" spans="2:5" x14ac:dyDescent="0.2">
      <c r="B149" s="126"/>
      <c r="C149" s="126" t="s">
        <v>74</v>
      </c>
      <c r="D149" s="126">
        <v>1</v>
      </c>
      <c r="E149" s="127">
        <v>186953296</v>
      </c>
    </row>
    <row r="150" spans="2:5" x14ac:dyDescent="0.2">
      <c r="B150" s="126"/>
      <c r="C150" s="126" t="s">
        <v>121</v>
      </c>
      <c r="D150" s="126">
        <v>2</v>
      </c>
      <c r="E150" s="127">
        <v>370370371</v>
      </c>
    </row>
    <row r="151" spans="2:5" x14ac:dyDescent="0.2">
      <c r="B151" s="126"/>
      <c r="C151" s="126" t="s">
        <v>51</v>
      </c>
      <c r="D151" s="126">
        <v>26</v>
      </c>
      <c r="E151" s="127">
        <v>6660307996.1074076</v>
      </c>
    </row>
    <row r="152" spans="2:5" x14ac:dyDescent="0.2">
      <c r="B152" s="126"/>
      <c r="C152" s="126" t="s">
        <v>70</v>
      </c>
      <c r="D152" s="126">
        <v>5</v>
      </c>
      <c r="E152" s="127">
        <v>181643899</v>
      </c>
    </row>
    <row r="153" spans="2:5" x14ac:dyDescent="0.2">
      <c r="B153" s="126"/>
      <c r="C153" s="126" t="s">
        <v>41</v>
      </c>
      <c r="D153" s="126">
        <v>29</v>
      </c>
      <c r="E153" s="127">
        <v>517132406.9222222</v>
      </c>
    </row>
    <row r="154" spans="2:5" x14ac:dyDescent="0.2">
      <c r="B154" s="126" t="s">
        <v>405</v>
      </c>
      <c r="C154" s="126"/>
      <c r="D154" s="126">
        <v>30</v>
      </c>
      <c r="E154" s="127">
        <v>5949390757.9453077</v>
      </c>
    </row>
    <row r="155" spans="2:5" x14ac:dyDescent="0.2">
      <c r="B155" s="126"/>
      <c r="C155" s="126" t="s">
        <v>121</v>
      </c>
      <c r="D155" s="126">
        <v>2</v>
      </c>
      <c r="E155" s="127">
        <v>1203703704.1111109</v>
      </c>
    </row>
    <row r="156" spans="2:5" x14ac:dyDescent="0.2">
      <c r="B156" s="126"/>
      <c r="C156" s="126" t="s">
        <v>51</v>
      </c>
      <c r="D156" s="126">
        <v>12</v>
      </c>
      <c r="E156" s="127">
        <v>4504785819.8144436</v>
      </c>
    </row>
    <row r="157" spans="2:5" x14ac:dyDescent="0.2">
      <c r="B157" s="126"/>
      <c r="C157" s="126" t="s">
        <v>41</v>
      </c>
      <c r="D157" s="126">
        <v>16</v>
      </c>
      <c r="E157" s="127">
        <v>240901234.01975307</v>
      </c>
    </row>
    <row r="158" spans="2:5" x14ac:dyDescent="0.2">
      <c r="B158" s="126" t="s">
        <v>403</v>
      </c>
      <c r="C158" s="126"/>
      <c r="D158" s="126">
        <v>16</v>
      </c>
      <c r="E158" s="127">
        <v>5327769704.1481466</v>
      </c>
    </row>
    <row r="159" spans="2:5" x14ac:dyDescent="0.2">
      <c r="B159" s="126"/>
      <c r="C159" s="126" t="s">
        <v>32</v>
      </c>
      <c r="D159" s="126">
        <v>1</v>
      </c>
      <c r="E159" s="127">
        <v>20555555.555555556</v>
      </c>
    </row>
    <row r="160" spans="2:5" x14ac:dyDescent="0.2">
      <c r="B160" s="126"/>
      <c r="C160" s="126" t="s">
        <v>51</v>
      </c>
      <c r="D160" s="126">
        <v>7</v>
      </c>
      <c r="E160" s="127">
        <v>5073301185.5555553</v>
      </c>
    </row>
    <row r="161" spans="2:7" x14ac:dyDescent="0.2">
      <c r="B161" s="126"/>
      <c r="C161" s="126" t="s">
        <v>41</v>
      </c>
      <c r="D161" s="126">
        <v>8</v>
      </c>
      <c r="E161" s="127">
        <v>233912963.03703704</v>
      </c>
    </row>
    <row r="162" spans="2:7" x14ac:dyDescent="0.2">
      <c r="B162" s="126" t="s">
        <v>117</v>
      </c>
      <c r="C162" s="126"/>
      <c r="D162" s="126">
        <v>16</v>
      </c>
      <c r="E162" s="127">
        <v>128472953.14814812</v>
      </c>
    </row>
    <row r="163" spans="2:7" x14ac:dyDescent="0.2">
      <c r="B163" s="126"/>
      <c r="C163" s="126" t="s">
        <v>74</v>
      </c>
      <c r="D163" s="126">
        <v>16</v>
      </c>
      <c r="E163" s="127">
        <v>128472953.14814812</v>
      </c>
    </row>
    <row r="164" spans="2:7" x14ac:dyDescent="0.2">
      <c r="B164" s="126" t="s">
        <v>410</v>
      </c>
      <c r="C164" s="126"/>
      <c r="D164" s="126">
        <v>150</v>
      </c>
      <c r="E164" s="127">
        <v>37446579491.734192</v>
      </c>
      <c r="F164" s="125">
        <f>+E164/220000000000</f>
        <v>0.17021172496242815</v>
      </c>
    </row>
    <row r="165" spans="2:7" x14ac:dyDescent="0.2">
      <c r="B165"/>
      <c r="C165"/>
      <c r="D165"/>
      <c r="E165"/>
    </row>
    <row r="166" spans="2:7" x14ac:dyDescent="0.2">
      <c r="B166"/>
      <c r="C166"/>
      <c r="D166"/>
      <c r="E166"/>
    </row>
    <row r="167" spans="2:7" x14ac:dyDescent="0.2">
      <c r="B167"/>
      <c r="C167"/>
      <c r="D167"/>
      <c r="E167"/>
    </row>
    <row r="168" spans="2:7" x14ac:dyDescent="0.2">
      <c r="B168"/>
      <c r="C168"/>
      <c r="D168"/>
      <c r="E168"/>
    </row>
    <row r="174" spans="2:7" x14ac:dyDescent="0.2">
      <c r="B174"/>
      <c r="C174"/>
      <c r="D174"/>
      <c r="E174"/>
      <c r="F174"/>
      <c r="G174"/>
    </row>
    <row r="175" spans="2:7" x14ac:dyDescent="0.2">
      <c r="B175" s="126" t="s">
        <v>16</v>
      </c>
      <c r="C175" s="126" t="s">
        <v>15</v>
      </c>
      <c r="D175" s="126" t="s">
        <v>396</v>
      </c>
      <c r="E175" s="126" t="s">
        <v>487</v>
      </c>
      <c r="F175"/>
      <c r="G175"/>
    </row>
    <row r="176" spans="2:7" x14ac:dyDescent="0.2">
      <c r="B176" s="126" t="s">
        <v>402</v>
      </c>
      <c r="C176" s="126"/>
      <c r="D176" s="126">
        <v>63</v>
      </c>
      <c r="E176" s="127">
        <v>7916407969.0296307</v>
      </c>
      <c r="F176"/>
      <c r="G176"/>
    </row>
    <row r="177" spans="2:7" x14ac:dyDescent="0.2">
      <c r="B177" s="126"/>
      <c r="C177" s="126" t="s">
        <v>42</v>
      </c>
      <c r="D177" s="126">
        <v>12</v>
      </c>
      <c r="E177" s="127">
        <v>1116436109.9592593</v>
      </c>
      <c r="F177"/>
      <c r="G177"/>
    </row>
    <row r="178" spans="2:7" x14ac:dyDescent="0.2">
      <c r="B178" s="126"/>
      <c r="C178" s="126" t="s">
        <v>71</v>
      </c>
      <c r="D178" s="126">
        <v>13</v>
      </c>
      <c r="E178" s="127">
        <v>586277862.70000005</v>
      </c>
      <c r="F178"/>
      <c r="G178"/>
    </row>
    <row r="179" spans="2:7" x14ac:dyDescent="0.2">
      <c r="B179" s="126"/>
      <c r="C179" s="126" t="s">
        <v>87</v>
      </c>
      <c r="D179" s="126">
        <v>3</v>
      </c>
      <c r="E179" s="127">
        <v>612591889</v>
      </c>
      <c r="F179"/>
      <c r="G179"/>
    </row>
    <row r="180" spans="2:7" x14ac:dyDescent="0.2">
      <c r="B180" s="126"/>
      <c r="C180" s="126" t="s">
        <v>83</v>
      </c>
      <c r="D180" s="126">
        <v>12</v>
      </c>
      <c r="E180" s="127">
        <v>1162767716.8148148</v>
      </c>
      <c r="F180"/>
      <c r="G180"/>
    </row>
    <row r="181" spans="2:7" x14ac:dyDescent="0.2">
      <c r="B181" s="126"/>
      <c r="C181" s="126" t="s">
        <v>113</v>
      </c>
      <c r="D181" s="126">
        <v>6</v>
      </c>
      <c r="E181" s="127">
        <v>1295673611.1851852</v>
      </c>
      <c r="F181"/>
      <c r="G181"/>
    </row>
    <row r="182" spans="2:7" x14ac:dyDescent="0.2">
      <c r="B182" s="126"/>
      <c r="C182" s="126" t="s">
        <v>105</v>
      </c>
      <c r="D182" s="126">
        <v>5</v>
      </c>
      <c r="E182" s="127">
        <v>1557586590.4074073</v>
      </c>
      <c r="F182"/>
      <c r="G182"/>
    </row>
    <row r="183" spans="2:7" x14ac:dyDescent="0.2">
      <c r="B183" s="126"/>
      <c r="C183" s="126" t="s">
        <v>140</v>
      </c>
      <c r="D183" s="126">
        <v>7</v>
      </c>
      <c r="E183" s="127">
        <v>533617707.37037033</v>
      </c>
      <c r="F183"/>
      <c r="G183"/>
    </row>
    <row r="184" spans="2:7" x14ac:dyDescent="0.2">
      <c r="B184" s="126"/>
      <c r="C184" s="126" t="s">
        <v>345</v>
      </c>
      <c r="D184" s="126">
        <v>1</v>
      </c>
      <c r="E184" s="127">
        <v>58962962.962962963</v>
      </c>
      <c r="F184"/>
      <c r="G184"/>
    </row>
    <row r="185" spans="2:7" x14ac:dyDescent="0.2">
      <c r="B185" s="126"/>
      <c r="C185" s="126" t="s">
        <v>349</v>
      </c>
      <c r="D185" s="126">
        <v>3</v>
      </c>
      <c r="E185" s="127">
        <v>962863889</v>
      </c>
      <c r="F185"/>
      <c r="G185"/>
    </row>
    <row r="186" spans="2:7" x14ac:dyDescent="0.2">
      <c r="B186" s="126"/>
      <c r="C186" s="126" t="s">
        <v>352</v>
      </c>
      <c r="D186" s="126">
        <v>1</v>
      </c>
      <c r="E186" s="127">
        <v>29629629.629629627</v>
      </c>
      <c r="F186"/>
      <c r="G186"/>
    </row>
    <row r="187" spans="2:7" x14ac:dyDescent="0.2">
      <c r="B187" s="126" t="s">
        <v>410</v>
      </c>
      <c r="C187" s="126"/>
      <c r="D187" s="126">
        <v>63</v>
      </c>
      <c r="E187" s="127">
        <v>7916407969.0296307</v>
      </c>
      <c r="F187"/>
      <c r="G187"/>
    </row>
    <row r="188" spans="2:7" x14ac:dyDescent="0.2">
      <c r="B188"/>
      <c r="C188"/>
      <c r="D188"/>
      <c r="E188"/>
      <c r="F188"/>
      <c r="G188"/>
    </row>
    <row r="189" spans="2:7" x14ac:dyDescent="0.2">
      <c r="B189"/>
      <c r="C189"/>
      <c r="D189"/>
      <c r="E189"/>
      <c r="F189"/>
      <c r="G189"/>
    </row>
    <row r="190" spans="2:7" x14ac:dyDescent="0.2">
      <c r="B190"/>
      <c r="C190"/>
      <c r="D190"/>
      <c r="E190"/>
      <c r="F190"/>
      <c r="G190"/>
    </row>
    <row r="191" spans="2:7" x14ac:dyDescent="0.2">
      <c r="B191"/>
      <c r="C191"/>
      <c r="D191"/>
      <c r="E191"/>
      <c r="F191"/>
      <c r="G191"/>
    </row>
    <row r="192" spans="2:7" x14ac:dyDescent="0.2">
      <c r="B192"/>
      <c r="C192"/>
      <c r="D192"/>
      <c r="E192"/>
      <c r="F192"/>
      <c r="G192"/>
    </row>
    <row r="193" spans="2:7" x14ac:dyDescent="0.2">
      <c r="B193"/>
      <c r="C193"/>
      <c r="D193"/>
      <c r="E193"/>
      <c r="F193"/>
      <c r="G193"/>
    </row>
    <row r="194" spans="2:7" x14ac:dyDescent="0.2">
      <c r="B194" s="126" t="s">
        <v>16</v>
      </c>
      <c r="C194" s="126" t="s">
        <v>23</v>
      </c>
      <c r="D194" s="126" t="s">
        <v>487</v>
      </c>
      <c r="E194"/>
      <c r="F194"/>
      <c r="G194"/>
    </row>
    <row r="195" spans="2:7" x14ac:dyDescent="0.2">
      <c r="B195" s="126" t="s">
        <v>402</v>
      </c>
      <c r="C195" s="126"/>
      <c r="D195" s="127">
        <v>7916407969.0296297</v>
      </c>
      <c r="E195"/>
      <c r="F195"/>
      <c r="G195"/>
    </row>
    <row r="196" spans="2:7" x14ac:dyDescent="0.2">
      <c r="B196" s="126"/>
      <c r="C196" s="126">
        <v>1</v>
      </c>
      <c r="D196" s="127">
        <v>1532119513.9259257</v>
      </c>
      <c r="E196"/>
      <c r="F196"/>
      <c r="G196"/>
    </row>
    <row r="197" spans="2:7" x14ac:dyDescent="0.2">
      <c r="B197" s="126"/>
      <c r="C197" s="126">
        <v>2</v>
      </c>
      <c r="D197" s="127">
        <v>614144444.96296287</v>
      </c>
      <c r="E197"/>
      <c r="F197"/>
      <c r="G197"/>
    </row>
    <row r="198" spans="2:7" x14ac:dyDescent="0.2">
      <c r="B198" s="126"/>
      <c r="C198" s="126">
        <v>3</v>
      </c>
      <c r="D198" s="127">
        <v>1441441579</v>
      </c>
      <c r="E198"/>
      <c r="F198"/>
      <c r="G198"/>
    </row>
    <row r="199" spans="2:7" x14ac:dyDescent="0.2">
      <c r="B199" s="126"/>
      <c r="C199" s="126">
        <v>4</v>
      </c>
      <c r="D199" s="127">
        <v>917158963.07037044</v>
      </c>
      <c r="E199"/>
      <c r="F199"/>
      <c r="G199"/>
    </row>
    <row r="200" spans="2:7" x14ac:dyDescent="0.2">
      <c r="B200" s="126"/>
      <c r="C200" s="126">
        <v>5</v>
      </c>
      <c r="D200" s="127">
        <v>2152068004.3296299</v>
      </c>
      <c r="E200"/>
      <c r="F200"/>
      <c r="G200"/>
    </row>
    <row r="201" spans="2:7" x14ac:dyDescent="0.2">
      <c r="B201" s="126"/>
      <c r="C201" s="126">
        <v>6</v>
      </c>
      <c r="D201" s="127">
        <v>1259475463.7407408</v>
      </c>
      <c r="E201"/>
      <c r="F201"/>
      <c r="G201"/>
    </row>
    <row r="202" spans="2:7" x14ac:dyDescent="0.2">
      <c r="B202" s="126" t="s">
        <v>410</v>
      </c>
      <c r="C202" s="126"/>
      <c r="D202" s="127">
        <v>7916407969.0296297</v>
      </c>
      <c r="E202"/>
      <c r="F202"/>
      <c r="G202"/>
    </row>
    <row r="203" spans="2:7" x14ac:dyDescent="0.2">
      <c r="B203"/>
      <c r="C203"/>
      <c r="D203"/>
      <c r="E203"/>
      <c r="F203" s="287">
        <f>+E206+E210+E212</f>
        <v>7354565727.7160501</v>
      </c>
      <c r="G203"/>
    </row>
    <row r="204" spans="2:7" x14ac:dyDescent="0.2">
      <c r="B204"/>
      <c r="C204"/>
      <c r="D204"/>
      <c r="E204"/>
      <c r="F204"/>
      <c r="G204"/>
    </row>
    <row r="205" spans="2:7" x14ac:dyDescent="0.2">
      <c r="B205" s="265" t="s">
        <v>17</v>
      </c>
      <c r="C205" s="265" t="s">
        <v>20</v>
      </c>
      <c r="D205" s="265" t="s">
        <v>396</v>
      </c>
      <c r="E205" s="265" t="s">
        <v>487</v>
      </c>
      <c r="F205"/>
      <c r="G205"/>
    </row>
    <row r="206" spans="2:7" x14ac:dyDescent="0.2">
      <c r="B206" s="265" t="s">
        <v>60</v>
      </c>
      <c r="C206" s="265"/>
      <c r="D206" s="265">
        <v>28</v>
      </c>
      <c r="E206" s="277">
        <v>2446537733.7037039</v>
      </c>
      <c r="F206"/>
      <c r="G206"/>
    </row>
    <row r="207" spans="2:7" x14ac:dyDescent="0.2">
      <c r="B207" s="265"/>
      <c r="C207" s="265" t="s">
        <v>65</v>
      </c>
      <c r="D207" s="265">
        <v>15</v>
      </c>
      <c r="E207" s="277">
        <v>659410735.11111116</v>
      </c>
      <c r="F207"/>
      <c r="G207" s="287">
        <f>+E209+E211+E215+E218</f>
        <v>4016024974.123456</v>
      </c>
    </row>
    <row r="208" spans="2:7" x14ac:dyDescent="0.2">
      <c r="B208" s="265"/>
      <c r="C208" s="265" t="s">
        <v>46</v>
      </c>
      <c r="D208" s="265">
        <v>11</v>
      </c>
      <c r="E208" s="277">
        <v>1559103848.5925925</v>
      </c>
      <c r="F208"/>
      <c r="G208"/>
    </row>
    <row r="209" spans="2:21" x14ac:dyDescent="0.2">
      <c r="B209" s="265"/>
      <c r="C209" s="265" t="s">
        <v>76</v>
      </c>
      <c r="D209" s="265">
        <v>2</v>
      </c>
      <c r="E209" s="277">
        <v>228023150</v>
      </c>
      <c r="F209"/>
      <c r="G209"/>
    </row>
    <row r="210" spans="2:21" x14ac:dyDescent="0.2">
      <c r="B210" s="265" t="s">
        <v>259</v>
      </c>
      <c r="C210" s="265"/>
      <c r="D210" s="265">
        <v>1</v>
      </c>
      <c r="E210" s="277">
        <v>1244460356.4814813</v>
      </c>
      <c r="F210"/>
      <c r="G210"/>
    </row>
    <row r="211" spans="2:21" x14ac:dyDescent="0.2">
      <c r="B211" s="265"/>
      <c r="C211" s="265" t="s">
        <v>76</v>
      </c>
      <c r="D211" s="265">
        <v>1</v>
      </c>
      <c r="E211" s="277">
        <v>1244460356.4814813</v>
      </c>
      <c r="F211"/>
      <c r="G211"/>
    </row>
    <row r="212" spans="2:21" x14ac:dyDescent="0.2">
      <c r="B212" s="265" t="s">
        <v>43</v>
      </c>
      <c r="C212" s="265"/>
      <c r="D212" s="265">
        <v>21</v>
      </c>
      <c r="E212" s="277">
        <v>3663567637.5308647</v>
      </c>
      <c r="F212"/>
      <c r="G212"/>
    </row>
    <row r="213" spans="2:21" x14ac:dyDescent="0.2">
      <c r="B213" s="265"/>
      <c r="C213" s="265" t="s">
        <v>65</v>
      </c>
      <c r="D213" s="265">
        <v>8</v>
      </c>
      <c r="E213" s="277">
        <v>1983434171.7037034</v>
      </c>
      <c r="F213"/>
      <c r="G213"/>
    </row>
    <row r="214" spans="2:21" ht="31.5" customHeight="1" x14ac:dyDescent="0.2">
      <c r="B214" s="265"/>
      <c r="C214" s="265" t="s">
        <v>46</v>
      </c>
      <c r="D214" s="265">
        <v>11</v>
      </c>
      <c r="E214" s="277">
        <v>940637366.81481481</v>
      </c>
      <c r="F214"/>
      <c r="S214"/>
      <c r="T214"/>
    </row>
    <row r="215" spans="2:21" s="131" customFormat="1" ht="15" x14ac:dyDescent="0.25">
      <c r="B215" s="265"/>
      <c r="C215" s="265" t="s">
        <v>76</v>
      </c>
      <c r="D215" s="265">
        <v>2</v>
      </c>
      <c r="E215" s="277">
        <v>739496099.01234567</v>
      </c>
      <c r="F215"/>
      <c r="S215"/>
      <c r="T215"/>
      <c r="U215" s="125"/>
    </row>
    <row r="216" spans="2:21" x14ac:dyDescent="0.2">
      <c r="B216" s="265" t="s">
        <v>34</v>
      </c>
      <c r="C216" s="265"/>
      <c r="D216" s="265">
        <v>38</v>
      </c>
      <c r="E216" s="277">
        <v>2883654467.373704</v>
      </c>
      <c r="F216"/>
      <c r="S216"/>
      <c r="T216"/>
    </row>
    <row r="217" spans="2:21" x14ac:dyDescent="0.2">
      <c r="B217" s="265"/>
      <c r="C217" s="265" t="s">
        <v>65</v>
      </c>
      <c r="D217" s="265">
        <v>28</v>
      </c>
      <c r="E217" s="277">
        <v>1079609098.7440746</v>
      </c>
      <c r="F217"/>
      <c r="S217"/>
      <c r="T217"/>
    </row>
    <row r="218" spans="2:21" x14ac:dyDescent="0.2">
      <c r="B218" s="265"/>
      <c r="C218" s="265" t="s">
        <v>46</v>
      </c>
      <c r="D218" s="265">
        <v>10</v>
      </c>
      <c r="E218" s="277">
        <v>1804045368.6296294</v>
      </c>
      <c r="F218"/>
      <c r="S218"/>
      <c r="T218"/>
    </row>
    <row r="219" spans="2:21" x14ac:dyDescent="0.2">
      <c r="B219" s="265" t="s">
        <v>410</v>
      </c>
      <c r="C219" s="265"/>
      <c r="D219" s="265">
        <v>88</v>
      </c>
      <c r="E219" s="277">
        <v>10238220195.089752</v>
      </c>
      <c r="F219"/>
      <c r="S219"/>
      <c r="T219"/>
    </row>
    <row r="220" spans="2:21" x14ac:dyDescent="0.2">
      <c r="B220"/>
      <c r="C220"/>
      <c r="D220"/>
      <c r="E220"/>
      <c r="F220"/>
      <c r="S220"/>
      <c r="T220"/>
    </row>
    <row r="221" spans="2:21" x14ac:dyDescent="0.2">
      <c r="B221"/>
      <c r="C221"/>
      <c r="D221"/>
      <c r="E221"/>
      <c r="F221"/>
      <c r="S221"/>
      <c r="T221"/>
    </row>
    <row r="222" spans="2:21" s="131" customFormat="1" ht="15" x14ac:dyDescent="0.25">
      <c r="B222" s="265"/>
      <c r="C222"/>
      <c r="D222"/>
      <c r="E222"/>
      <c r="F222"/>
      <c r="S222"/>
      <c r="T222"/>
      <c r="U222" s="125"/>
    </row>
    <row r="223" spans="2:21" x14ac:dyDescent="0.2">
      <c r="B223" s="265" t="s">
        <v>16</v>
      </c>
      <c r="C223" s="265" t="s">
        <v>8</v>
      </c>
      <c r="D223" s="265" t="s">
        <v>396</v>
      </c>
      <c r="E223" s="265" t="s">
        <v>487</v>
      </c>
      <c r="F223"/>
      <c r="S223"/>
      <c r="T223"/>
    </row>
    <row r="224" spans="2:21" x14ac:dyDescent="0.2">
      <c r="B224" s="265" t="s">
        <v>402</v>
      </c>
      <c r="C224" s="265"/>
      <c r="D224" s="265">
        <v>41</v>
      </c>
      <c r="E224" s="277">
        <v>4504864500.95926</v>
      </c>
      <c r="F224"/>
      <c r="S224"/>
      <c r="T224"/>
    </row>
    <row r="225" spans="2:21" s="131" customFormat="1" ht="15" x14ac:dyDescent="0.25">
      <c r="B225" s="265"/>
      <c r="C225" s="265" t="s">
        <v>51</v>
      </c>
      <c r="D225" s="265">
        <v>15</v>
      </c>
      <c r="E225" s="277">
        <v>3464863602.8888888</v>
      </c>
      <c r="F225"/>
      <c r="S225"/>
      <c r="T225"/>
      <c r="U225" s="125"/>
    </row>
    <row r="226" spans="2:21" x14ac:dyDescent="0.2">
      <c r="B226" s="265"/>
      <c r="C226" s="265" t="s">
        <v>121</v>
      </c>
      <c r="D226" s="265">
        <v>2</v>
      </c>
      <c r="E226" s="277">
        <v>370370371</v>
      </c>
      <c r="F226"/>
      <c r="S226"/>
      <c r="T226"/>
    </row>
    <row r="227" spans="2:21" x14ac:dyDescent="0.2">
      <c r="B227" s="265"/>
      <c r="C227" s="265" t="s">
        <v>41</v>
      </c>
      <c r="D227" s="265">
        <v>20</v>
      </c>
      <c r="E227" s="277">
        <v>360391666.07037038</v>
      </c>
      <c r="F227"/>
      <c r="S227"/>
      <c r="T227"/>
    </row>
    <row r="228" spans="2:21" x14ac:dyDescent="0.2">
      <c r="B228" s="265"/>
      <c r="C228" s="265" t="s">
        <v>74</v>
      </c>
      <c r="D228" s="265">
        <v>1</v>
      </c>
      <c r="E228" s="277">
        <v>186953296</v>
      </c>
      <c r="F228"/>
      <c r="S228"/>
      <c r="T228"/>
    </row>
    <row r="229" spans="2:21" s="131" customFormat="1" ht="15" x14ac:dyDescent="0.25">
      <c r="B229" s="265"/>
      <c r="C229" s="265" t="s">
        <v>70</v>
      </c>
      <c r="D229" s="265">
        <v>3</v>
      </c>
      <c r="E229" s="277">
        <v>122285565</v>
      </c>
      <c r="F229"/>
      <c r="S229"/>
      <c r="T229"/>
    </row>
    <row r="230" spans="2:21" x14ac:dyDescent="0.2">
      <c r="B230" s="265" t="s">
        <v>410</v>
      </c>
      <c r="C230" s="265"/>
      <c r="D230" s="265">
        <v>41</v>
      </c>
      <c r="E230" s="277">
        <v>4504864500.95926</v>
      </c>
      <c r="F230"/>
      <c r="S230"/>
      <c r="T230"/>
    </row>
    <row r="231" spans="2:21" s="131" customFormat="1" ht="15" x14ac:dyDescent="0.25">
      <c r="B231"/>
      <c r="C231"/>
      <c r="D231"/>
      <c r="E231"/>
      <c r="F231"/>
      <c r="S231"/>
      <c r="T231"/>
    </row>
    <row r="232" spans="2:21" x14ac:dyDescent="0.2">
      <c r="B232"/>
      <c r="C232"/>
      <c r="D232"/>
      <c r="E232"/>
      <c r="F232"/>
      <c r="S232"/>
      <c r="T232"/>
    </row>
    <row r="233" spans="2:21" x14ac:dyDescent="0.2">
      <c r="B233"/>
      <c r="C233"/>
      <c r="D233"/>
      <c r="E233"/>
      <c r="F233"/>
      <c r="S233"/>
      <c r="T233"/>
    </row>
    <row r="234" spans="2:21" x14ac:dyDescent="0.2">
      <c r="B234"/>
      <c r="C234"/>
      <c r="D234"/>
      <c r="E234"/>
      <c r="F234"/>
      <c r="S234"/>
      <c r="T234"/>
    </row>
    <row r="235" spans="2:21" x14ac:dyDescent="0.2">
      <c r="B235"/>
      <c r="C235"/>
      <c r="D235"/>
      <c r="E235"/>
      <c r="F235"/>
    </row>
    <row r="236" spans="2:21" x14ac:dyDescent="0.2">
      <c r="B236"/>
      <c r="C236"/>
      <c r="D236"/>
      <c r="E236"/>
      <c r="F236"/>
    </row>
    <row r="237" spans="2:21" x14ac:dyDescent="0.2">
      <c r="B237"/>
      <c r="C237"/>
      <c r="D237"/>
      <c r="E237"/>
      <c r="F237"/>
    </row>
    <row r="238" spans="2:21" x14ac:dyDescent="0.2">
      <c r="B238"/>
      <c r="C238"/>
      <c r="D238"/>
      <c r="E238"/>
      <c r="F238"/>
    </row>
    <row r="239" spans="2:21" x14ac:dyDescent="0.2">
      <c r="B239"/>
      <c r="C239"/>
      <c r="D239"/>
      <c r="E239"/>
      <c r="F239"/>
    </row>
    <row r="240" spans="2:21" x14ac:dyDescent="0.2">
      <c r="B240"/>
      <c r="C240"/>
      <c r="D240"/>
      <c r="E240"/>
      <c r="F240"/>
    </row>
    <row r="241" spans="2:6" x14ac:dyDescent="0.2">
      <c r="B241"/>
      <c r="C241"/>
      <c r="D241"/>
      <c r="E241"/>
      <c r="F241"/>
    </row>
    <row r="242" spans="2:6" x14ac:dyDescent="0.2">
      <c r="B242"/>
      <c r="C242"/>
      <c r="D242"/>
      <c r="E242"/>
      <c r="F242"/>
    </row>
    <row r="243" spans="2:6" x14ac:dyDescent="0.2">
      <c r="B243"/>
      <c r="C243"/>
      <c r="D243"/>
      <c r="E243"/>
      <c r="F243"/>
    </row>
    <row r="244" spans="2:6" x14ac:dyDescent="0.2">
      <c r="B244"/>
      <c r="C244"/>
      <c r="D244"/>
      <c r="E244"/>
      <c r="F244"/>
    </row>
    <row r="245" spans="2:6" x14ac:dyDescent="0.2">
      <c r="B245"/>
      <c r="C245"/>
      <c r="D245"/>
      <c r="E245"/>
      <c r="F245"/>
    </row>
    <row r="246" spans="2:6" x14ac:dyDescent="0.2">
      <c r="B246"/>
      <c r="C246"/>
      <c r="D246"/>
      <c r="E246"/>
      <c r="F246"/>
    </row>
    <row r="247" spans="2:6" x14ac:dyDescent="0.2">
      <c r="B247" s="265" t="s">
        <v>16</v>
      </c>
      <c r="C247" s="265" t="s">
        <v>496</v>
      </c>
      <c r="D247"/>
      <c r="E247"/>
      <c r="F247"/>
    </row>
    <row r="248" spans="2:6" x14ac:dyDescent="0.2">
      <c r="B248" s="265" t="s">
        <v>402</v>
      </c>
      <c r="C248" s="277">
        <v>990367847.34407377</v>
      </c>
      <c r="D248"/>
      <c r="E248"/>
      <c r="F248"/>
    </row>
    <row r="249" spans="2:6" x14ac:dyDescent="0.2">
      <c r="B249" s="265" t="s">
        <v>410</v>
      </c>
      <c r="C249" s="277">
        <v>990367847.34407377</v>
      </c>
      <c r="D249"/>
      <c r="E249"/>
      <c r="F249"/>
    </row>
    <row r="250" spans="2:6" x14ac:dyDescent="0.2">
      <c r="B250"/>
      <c r="C250"/>
      <c r="D250"/>
      <c r="E250"/>
      <c r="F250"/>
    </row>
    <row r="251" spans="2:6" x14ac:dyDescent="0.2">
      <c r="B251"/>
      <c r="C251"/>
      <c r="D251"/>
      <c r="E251"/>
      <c r="F251"/>
    </row>
    <row r="252" spans="2:6" x14ac:dyDescent="0.2">
      <c r="B252"/>
      <c r="C252"/>
      <c r="D252"/>
      <c r="E252"/>
      <c r="F252"/>
    </row>
    <row r="253" spans="2:6" x14ac:dyDescent="0.2">
      <c r="B253"/>
      <c r="C253"/>
      <c r="D253"/>
      <c r="E253"/>
      <c r="F253"/>
    </row>
    <row r="254" spans="2:6" x14ac:dyDescent="0.2">
      <c r="B254"/>
      <c r="C254"/>
      <c r="D254"/>
      <c r="E254"/>
      <c r="F254"/>
    </row>
    <row r="255" spans="2:6" x14ac:dyDescent="0.2">
      <c r="B255"/>
      <c r="C255"/>
      <c r="D255"/>
      <c r="E255"/>
      <c r="F255"/>
    </row>
    <row r="256" spans="2:6" x14ac:dyDescent="0.2">
      <c r="B256"/>
      <c r="C256"/>
      <c r="D256"/>
      <c r="E256"/>
      <c r="F256"/>
    </row>
    <row r="257" spans="2:6" x14ac:dyDescent="0.2">
      <c r="B257"/>
      <c r="C257"/>
      <c r="D257"/>
      <c r="E257"/>
      <c r="F257"/>
    </row>
    <row r="258" spans="2:6" x14ac:dyDescent="0.2">
      <c r="B258"/>
      <c r="C258"/>
      <c r="D258"/>
      <c r="E258"/>
      <c r="F258"/>
    </row>
    <row r="259" spans="2:6" x14ac:dyDescent="0.2">
      <c r="B259"/>
      <c r="C259"/>
      <c r="D259"/>
      <c r="E259"/>
      <c r="F259"/>
    </row>
    <row r="260" spans="2:6" x14ac:dyDescent="0.2">
      <c r="B260"/>
      <c r="C260"/>
      <c r="D260"/>
      <c r="E260"/>
      <c r="F260"/>
    </row>
    <row r="261" spans="2:6" x14ac:dyDescent="0.2">
      <c r="B261"/>
      <c r="C261"/>
      <c r="D261"/>
      <c r="E261"/>
      <c r="F261"/>
    </row>
    <row r="262" spans="2:6" x14ac:dyDescent="0.2">
      <c r="B262"/>
      <c r="C262"/>
      <c r="D262"/>
      <c r="E262"/>
      <c r="F262"/>
    </row>
    <row r="265" spans="2:6" x14ac:dyDescent="0.2">
      <c r="B265" s="126" t="s">
        <v>23</v>
      </c>
      <c r="C265" s="126" t="s">
        <v>396</v>
      </c>
      <c r="D265" s="126" t="s">
        <v>487</v>
      </c>
      <c r="E265"/>
      <c r="F265"/>
    </row>
    <row r="266" spans="2:6" x14ac:dyDescent="0.2">
      <c r="B266" s="126">
        <v>1</v>
      </c>
      <c r="C266" s="126">
        <v>21</v>
      </c>
      <c r="D266" s="127">
        <v>3204204080.7037044</v>
      </c>
      <c r="E266"/>
      <c r="F266"/>
    </row>
    <row r="267" spans="2:6" x14ac:dyDescent="0.2">
      <c r="B267" s="126">
        <v>2</v>
      </c>
      <c r="C267" s="126">
        <v>20</v>
      </c>
      <c r="D267" s="127">
        <v>2481488293.5185184</v>
      </c>
      <c r="E267"/>
      <c r="F267"/>
    </row>
    <row r="268" spans="2:6" x14ac:dyDescent="0.2">
      <c r="B268" s="126">
        <v>3</v>
      </c>
      <c r="C268" s="126">
        <v>35</v>
      </c>
      <c r="D268" s="127">
        <v>12323953861.444445</v>
      </c>
      <c r="E268"/>
      <c r="F268"/>
    </row>
    <row r="269" spans="2:6" x14ac:dyDescent="0.2">
      <c r="B269" s="126">
        <v>4</v>
      </c>
      <c r="C269" s="126">
        <v>27</v>
      </c>
      <c r="D269" s="127">
        <v>7823507138.0897512</v>
      </c>
      <c r="E269"/>
      <c r="F269"/>
    </row>
    <row r="270" spans="2:6" x14ac:dyDescent="0.2">
      <c r="B270" s="126">
        <v>5</v>
      </c>
      <c r="C270" s="126">
        <v>30</v>
      </c>
      <c r="D270" s="127">
        <v>8130472047.7555561</v>
      </c>
      <c r="E270"/>
      <c r="F270"/>
    </row>
    <row r="271" spans="2:6" x14ac:dyDescent="0.2">
      <c r="B271" s="126">
        <v>6</v>
      </c>
      <c r="C271" s="126">
        <v>17</v>
      </c>
      <c r="D271" s="127">
        <v>3482954070.2222219</v>
      </c>
      <c r="E271"/>
      <c r="F271"/>
    </row>
    <row r="272" spans="2:6" x14ac:dyDescent="0.2">
      <c r="B272" s="126" t="s">
        <v>497</v>
      </c>
      <c r="C272" s="126"/>
      <c r="D272" s="127"/>
      <c r="E272"/>
      <c r="F272"/>
    </row>
    <row r="273" spans="2:6" x14ac:dyDescent="0.2">
      <c r="B273" s="126" t="s">
        <v>410</v>
      </c>
      <c r="C273" s="126">
        <v>150</v>
      </c>
      <c r="D273" s="127">
        <v>37446579491.734184</v>
      </c>
      <c r="E273"/>
      <c r="F273"/>
    </row>
    <row r="274" spans="2:6" x14ac:dyDescent="0.2">
      <c r="B274"/>
      <c r="C274"/>
      <c r="D274"/>
      <c r="E274"/>
      <c r="F274"/>
    </row>
    <row r="275" spans="2:6" x14ac:dyDescent="0.2">
      <c r="B275"/>
      <c r="C275"/>
      <c r="D275"/>
      <c r="E275"/>
      <c r="F275"/>
    </row>
    <row r="276" spans="2:6" x14ac:dyDescent="0.2">
      <c r="B276"/>
      <c r="C276"/>
      <c r="D276"/>
      <c r="E276"/>
      <c r="F276"/>
    </row>
    <row r="277" spans="2:6" x14ac:dyDescent="0.2">
      <c r="B277"/>
      <c r="C277"/>
      <c r="D277"/>
      <c r="E277"/>
      <c r="F277"/>
    </row>
    <row r="278" spans="2:6" x14ac:dyDescent="0.2">
      <c r="B278"/>
      <c r="C278"/>
      <c r="D278"/>
      <c r="E278"/>
      <c r="F278"/>
    </row>
    <row r="279" spans="2:6" x14ac:dyDescent="0.2">
      <c r="B279"/>
      <c r="C279"/>
      <c r="D279"/>
      <c r="E279"/>
      <c r="F279"/>
    </row>
    <row r="280" spans="2:6" x14ac:dyDescent="0.2">
      <c r="B280"/>
      <c r="C280"/>
      <c r="D280"/>
      <c r="E280"/>
      <c r="F280"/>
    </row>
    <row r="281" spans="2:6" x14ac:dyDescent="0.2">
      <c r="B281"/>
      <c r="C281"/>
      <c r="D281"/>
      <c r="E281"/>
      <c r="F281"/>
    </row>
    <row r="282" spans="2:6" x14ac:dyDescent="0.2">
      <c r="B282"/>
      <c r="C282"/>
      <c r="D282"/>
      <c r="E282"/>
      <c r="F282"/>
    </row>
    <row r="283" spans="2:6" x14ac:dyDescent="0.2">
      <c r="B283"/>
      <c r="C283"/>
      <c r="D283"/>
      <c r="E283"/>
      <c r="F283"/>
    </row>
    <row r="284" spans="2:6" x14ac:dyDescent="0.2">
      <c r="B284"/>
      <c r="C284"/>
      <c r="D284"/>
      <c r="E284"/>
      <c r="F284"/>
    </row>
    <row r="285" spans="2:6" x14ac:dyDescent="0.2">
      <c r="B285"/>
      <c r="C285"/>
      <c r="D285"/>
      <c r="E285"/>
      <c r="F285"/>
    </row>
    <row r="286" spans="2:6" x14ac:dyDescent="0.2">
      <c r="B286"/>
      <c r="C286"/>
      <c r="D286"/>
      <c r="E286"/>
      <c r="F286"/>
    </row>
    <row r="287" spans="2:6" x14ac:dyDescent="0.2">
      <c r="B287"/>
      <c r="C287"/>
      <c r="D287"/>
      <c r="E287"/>
      <c r="F287"/>
    </row>
    <row r="288" spans="2:6" x14ac:dyDescent="0.2">
      <c r="B288"/>
      <c r="C288"/>
      <c r="D288"/>
      <c r="E288"/>
      <c r="F288"/>
    </row>
    <row r="289" spans="2:6" x14ac:dyDescent="0.2">
      <c r="B289"/>
      <c r="C289"/>
      <c r="D289"/>
      <c r="E289"/>
      <c r="F289"/>
    </row>
    <row r="290" spans="2:6" x14ac:dyDescent="0.2">
      <c r="B290"/>
      <c r="C290"/>
      <c r="D290"/>
      <c r="E290"/>
      <c r="F290"/>
    </row>
    <row r="291" spans="2:6" x14ac:dyDescent="0.2">
      <c r="B291"/>
      <c r="C291"/>
      <c r="D291"/>
      <c r="E291"/>
      <c r="F291"/>
    </row>
    <row r="292" spans="2:6" x14ac:dyDescent="0.2">
      <c r="B292"/>
      <c r="C292"/>
      <c r="D292"/>
      <c r="E292"/>
      <c r="F292"/>
    </row>
    <row r="293" spans="2:6" x14ac:dyDescent="0.2">
      <c r="B293"/>
      <c r="C293"/>
      <c r="D293"/>
      <c r="E293"/>
      <c r="F293"/>
    </row>
    <row r="294" spans="2:6" x14ac:dyDescent="0.2">
      <c r="B294"/>
      <c r="C294"/>
      <c r="D294"/>
      <c r="E294"/>
      <c r="F294"/>
    </row>
    <row r="295" spans="2:6" x14ac:dyDescent="0.2">
      <c r="B295"/>
      <c r="C295"/>
      <c r="D295"/>
      <c r="E295"/>
      <c r="F295"/>
    </row>
    <row r="296" spans="2:6" x14ac:dyDescent="0.2">
      <c r="B296"/>
      <c r="C296"/>
      <c r="D296"/>
      <c r="E296"/>
      <c r="F296"/>
    </row>
    <row r="297" spans="2:6" x14ac:dyDescent="0.2">
      <c r="B297"/>
      <c r="C297"/>
      <c r="D297"/>
      <c r="E297"/>
      <c r="F297"/>
    </row>
    <row r="298" spans="2:6" x14ac:dyDescent="0.2">
      <c r="B298"/>
      <c r="C298"/>
      <c r="D298"/>
      <c r="E298"/>
      <c r="F298"/>
    </row>
    <row r="299" spans="2:6" x14ac:dyDescent="0.2">
      <c r="B299"/>
      <c r="C299"/>
      <c r="D299"/>
      <c r="E299"/>
      <c r="F299"/>
    </row>
  </sheetData>
  <sortState xmlns:xlrd2="http://schemas.microsoft.com/office/spreadsheetml/2017/richdata2" ref="G90:J94">
    <sortCondition descending="1" ref="H90:H94"/>
  </sortState>
  <pageMargins left="0.7" right="0.7" top="0.75" bottom="0.75" header="0.3" footer="0.3"/>
  <drawing r:id="rId22"/>
  <extLst>
    <ext xmlns:x14="http://schemas.microsoft.com/office/spreadsheetml/2009/9/main" uri="{A8765BA9-456A-4dab-B4F3-ACF838C121DE}">
      <x14:slicerList>
        <x14:slicer r:id="rId2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8780-0D30-474A-8785-1A0E3294199C}">
  <dimension ref="A1:S119"/>
  <sheetViews>
    <sheetView workbookViewId="0">
      <pane xSplit="1" ySplit="1" topLeftCell="B91" activePane="bottomRight" state="frozen"/>
      <selection pane="topRight"/>
      <selection pane="bottomLeft"/>
      <selection pane="bottomRight" activeCell="J116" sqref="J116"/>
    </sheetView>
  </sheetViews>
  <sheetFormatPr defaultColWidth="9.125" defaultRowHeight="15.75" x14ac:dyDescent="0.2"/>
  <cols>
    <col min="1" max="1" width="9.625" style="185" customWidth="1"/>
    <col min="2" max="2" width="24.875" style="185" customWidth="1"/>
    <col min="3" max="3" width="17.875" style="211" hidden="1" customWidth="1"/>
    <col min="4" max="4" width="19.75" style="185" bestFit="1" customWidth="1"/>
    <col min="5" max="5" width="19.25" style="185" customWidth="1"/>
    <col min="6" max="6" width="15.875" style="212" customWidth="1"/>
    <col min="7" max="7" width="15.375" style="185" customWidth="1"/>
    <col min="8" max="8" width="11.875" style="185" bestFit="1" customWidth="1"/>
    <col min="9" max="9" width="18" style="186" customWidth="1"/>
    <col min="10" max="10" width="10.375" style="185" customWidth="1"/>
    <col min="11" max="13" width="9.125" style="185"/>
    <col min="14" max="14" width="10.875" style="185" customWidth="1"/>
    <col min="15" max="15" width="13.125" style="185" customWidth="1"/>
    <col min="16" max="17" width="9.125" style="185"/>
    <col min="18" max="18" width="12" style="185" customWidth="1"/>
    <col min="19" max="16384" width="9.125" style="185"/>
  </cols>
  <sheetData>
    <row r="1" spans="1:19" ht="31.5" x14ac:dyDescent="0.2">
      <c r="A1" s="75" t="s">
        <v>498</v>
      </c>
      <c r="B1" s="76" t="s">
        <v>448</v>
      </c>
      <c r="C1" s="76" t="s">
        <v>416</v>
      </c>
      <c r="D1" s="77" t="s">
        <v>490</v>
      </c>
      <c r="E1" s="78" t="s">
        <v>499</v>
      </c>
      <c r="F1" s="177" t="s">
        <v>396</v>
      </c>
      <c r="G1" s="167" t="s">
        <v>500</v>
      </c>
      <c r="J1" s="187"/>
      <c r="K1" s="188" t="s">
        <v>501</v>
      </c>
      <c r="L1" s="188" t="s">
        <v>502</v>
      </c>
      <c r="M1" s="188" t="s">
        <v>503</v>
      </c>
      <c r="N1" s="188" t="s">
        <v>504</v>
      </c>
      <c r="O1" s="188" t="s">
        <v>505</v>
      </c>
      <c r="P1" s="188" t="s">
        <v>506</v>
      </c>
      <c r="Q1" s="188" t="s">
        <v>507</v>
      </c>
      <c r="R1" s="188" t="s">
        <v>441</v>
      </c>
    </row>
    <row r="2" spans="1:19" ht="19.5" customHeight="1" x14ac:dyDescent="0.2">
      <c r="A2" s="214" t="s">
        <v>470</v>
      </c>
      <c r="B2" s="215"/>
      <c r="C2" s="216" t="e">
        <f>VLOOKUP(Table1[[#This Row],[Nhân sự]],'DROPDOWNDATA-NOFILL'!$A$1:$B$40,2,FALSE)</f>
        <v>#N/A</v>
      </c>
      <c r="D2" s="217"/>
      <c r="E2" s="218"/>
      <c r="F2" s="219"/>
      <c r="G2" s="220"/>
      <c r="J2" s="187"/>
      <c r="K2" s="188"/>
      <c r="L2" s="188"/>
      <c r="M2" s="188"/>
      <c r="N2" s="188"/>
      <c r="O2" s="188"/>
      <c r="P2" s="188"/>
      <c r="Q2" s="188"/>
      <c r="R2" s="188"/>
    </row>
    <row r="3" spans="1:19" x14ac:dyDescent="0.2">
      <c r="A3" s="222">
        <v>1</v>
      </c>
      <c r="B3" s="223" t="s">
        <v>442</v>
      </c>
      <c r="C3" s="224"/>
      <c r="D3" s="225">
        <f>SUBTOTAL(9,D4:D5)</f>
        <v>2000000000</v>
      </c>
      <c r="E3" s="226">
        <f>SUMIFS('Data Doanh số'!$J:$J,'Data Doanh số'!$Q:$Q,Table1[[#This Row],[Nhân sự]],'Data Doanh số'!$X:$X,Table1[[#This Row],[Tháng]])</f>
        <v>1170184264</v>
      </c>
      <c r="F3" s="227">
        <f>COUNTIFS('Data Doanh số'!$Q:$Q,Table1[[#This Row],[Nhân sự]],'Data Doanh số'!$X:$X,Table1[[#This Row],[Tháng]])</f>
        <v>5</v>
      </c>
      <c r="G3" s="228">
        <f>+Table1[[#This Row],[Doanh số]]/Table1[[#This Row],[KPI]]</f>
        <v>0.58509213199999999</v>
      </c>
      <c r="J3" s="196" t="s">
        <v>468</v>
      </c>
      <c r="K3" s="197">
        <v>50000</v>
      </c>
      <c r="L3" s="197">
        <v>35000</v>
      </c>
      <c r="M3" s="197">
        <v>50000</v>
      </c>
      <c r="N3" s="197">
        <v>60000</v>
      </c>
      <c r="O3" s="197">
        <v>20000</v>
      </c>
      <c r="P3" s="197">
        <v>40000</v>
      </c>
      <c r="Q3" s="197"/>
      <c r="R3" s="197">
        <f>SUM(K3:P3)</f>
        <v>255000</v>
      </c>
    </row>
    <row r="4" spans="1:19" x14ac:dyDescent="0.2">
      <c r="A4" s="189">
        <v>1</v>
      </c>
      <c r="B4" s="190" t="s">
        <v>80</v>
      </c>
      <c r="C4" s="191" t="str">
        <f>VLOOKUP(Table1[[#This Row],[Nhân sự]],'DROPDOWNDATA-NOFILL'!$A$1:$B$40,2,FALSE)</f>
        <v>BU HCM</v>
      </c>
      <c r="D4" s="192">
        <v>1500000000</v>
      </c>
      <c r="E4" s="193">
        <f>SUMIFS('Data Doanh số'!$J:$J,'Data Doanh số'!$P:$P,Table1[[#This Row],[Nhân sự]],'Data Doanh số'!$X:$X,A4)</f>
        <v>759918090</v>
      </c>
      <c r="F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4" s="195">
        <f>+Table1[[#This Row],[Doanh số]]/Table1[[#This Row],[KPI]]</f>
        <v>0.50661206000000003</v>
      </c>
      <c r="J4" s="199" t="s">
        <v>470</v>
      </c>
      <c r="K4" s="200">
        <v>1600</v>
      </c>
      <c r="L4" s="200">
        <v>1400</v>
      </c>
      <c r="M4" s="200">
        <v>1700</v>
      </c>
      <c r="N4" s="200">
        <v>2000</v>
      </c>
      <c r="O4" s="200">
        <v>2000</v>
      </c>
      <c r="P4" s="200">
        <v>2000</v>
      </c>
      <c r="Q4" s="200"/>
      <c r="R4" s="197">
        <f>SUM(K4:P4)</f>
        <v>10700</v>
      </c>
    </row>
    <row r="5" spans="1:19" x14ac:dyDescent="0.2">
      <c r="A5" s="189">
        <v>1</v>
      </c>
      <c r="B5" s="190" t="s">
        <v>33</v>
      </c>
      <c r="C5" s="191" t="str">
        <f>VLOOKUP(Table1[[#This Row],[Nhân sự]],'DROPDOWNDATA-NOFILL'!$A$1:$B$40,2,FALSE)</f>
        <v>BU HCM</v>
      </c>
      <c r="D5" s="192">
        <v>500000000</v>
      </c>
      <c r="E5" s="193">
        <f>SUMIFS('Data Doanh số'!$J:$J,'Data Doanh số'!$P:$P,Table1[[#This Row],[Nhân sự]],'Data Doanh số'!$X:$X,A5)</f>
        <v>410266174</v>
      </c>
      <c r="F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5" s="195">
        <f>+Table1[[#This Row],[Doanh số]]/Table1[[#This Row],[KPI]]</f>
        <v>0.82053234799999997</v>
      </c>
      <c r="J5" s="199" t="s">
        <v>471</v>
      </c>
      <c r="K5" s="200">
        <v>1600</v>
      </c>
      <c r="L5" s="200">
        <v>1000</v>
      </c>
      <c r="M5" s="200">
        <v>1500</v>
      </c>
      <c r="N5" s="200">
        <v>2000</v>
      </c>
      <c r="O5" s="200">
        <v>1000</v>
      </c>
      <c r="P5" s="200">
        <v>1500</v>
      </c>
      <c r="Q5" s="200">
        <v>40</v>
      </c>
      <c r="R5" s="197">
        <f>SUM(K5:Q5)</f>
        <v>8640</v>
      </c>
    </row>
    <row r="6" spans="1:19" x14ac:dyDescent="0.2">
      <c r="A6" s="222">
        <v>1</v>
      </c>
      <c r="B6" s="223" t="s">
        <v>402</v>
      </c>
      <c r="C6" s="224"/>
      <c r="D6" s="225">
        <f>SUBTOTAL(9,D7:D13)</f>
        <v>2200000000</v>
      </c>
      <c r="E6" s="226">
        <f>SUMIFS('Data Doanh số'!$J:$J,'Data Doanh số'!$Q:$Q,Table1[[#This Row],[Nhân sự]],'Data Doanh số'!$X:$X,Table1[[#This Row],[Tháng]])</f>
        <v>1532119513.9259257</v>
      </c>
      <c r="F6" s="227">
        <f>COUNTIFS('Data Doanh số'!$Q:$Q,Table1[[#This Row],[Nhân sự]],'Data Doanh số'!$X:$X,Table1[[#This Row],[Tháng]])</f>
        <v>9</v>
      </c>
      <c r="G6" s="228">
        <f>+Table1[[#This Row],[Doanh số]]/Table1[[#This Row],[KPI]]</f>
        <v>0.69641796087542074</v>
      </c>
      <c r="J6" s="199"/>
      <c r="K6" s="200"/>
      <c r="L6" s="200"/>
      <c r="M6" s="200"/>
      <c r="N6" s="200"/>
      <c r="O6" s="200"/>
      <c r="P6" s="200"/>
      <c r="Q6" s="200"/>
      <c r="R6" s="196"/>
      <c r="S6" s="201"/>
    </row>
    <row r="7" spans="1:19" x14ac:dyDescent="0.2">
      <c r="A7" s="189">
        <v>1</v>
      </c>
      <c r="B7" s="190" t="s">
        <v>71</v>
      </c>
      <c r="C7" s="198" t="str">
        <f>VLOOKUP(Table1[[#This Row],[Nhân sự]],'DROPDOWNDATA-NOFILL'!$A$1:$B$40,2,FALSE)</f>
        <v>BU 1</v>
      </c>
      <c r="D7" s="193">
        <v>300000000</v>
      </c>
      <c r="E7" s="193">
        <f>SUMIFS('Data Doanh số'!$J:$J,'Data Doanh số'!$P:$P,Table1[[#This Row],[Nhân sự]],'Data Doanh số'!$X:$X,A7)</f>
        <v>193875296</v>
      </c>
      <c r="F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7" s="195">
        <f>+Table1[[#This Row],[Doanh số]]/Table1[[#This Row],[KPI]]</f>
        <v>0.64625098666666669</v>
      </c>
      <c r="J7" s="199"/>
      <c r="K7" s="197" t="s">
        <v>402</v>
      </c>
      <c r="L7" s="197" t="s">
        <v>403</v>
      </c>
      <c r="M7" s="197" t="s">
        <v>405</v>
      </c>
      <c r="N7" s="197" t="s">
        <v>442</v>
      </c>
      <c r="O7" s="200"/>
      <c r="P7" s="200"/>
      <c r="Q7" s="200"/>
      <c r="R7" s="196"/>
    </row>
    <row r="8" spans="1:19" x14ac:dyDescent="0.2">
      <c r="A8" s="189">
        <v>1</v>
      </c>
      <c r="B8" s="190" t="s">
        <v>113</v>
      </c>
      <c r="C8" s="198" t="str">
        <f>VLOOKUP(Table1[[#This Row],[Nhân sự]],'DROPDOWNDATA-NOFILL'!$A$1:$B$40,2,FALSE)</f>
        <v>BU 1</v>
      </c>
      <c r="D8" s="193">
        <v>350000000</v>
      </c>
      <c r="E8" s="193">
        <f>SUMIFS('Data Doanh số'!$J:$J,'Data Doanh số'!$P:$P,Table1[[#This Row],[Nhân sự]],'Data Doanh số'!$X:$X,A8)</f>
        <v>10694444.444444444</v>
      </c>
      <c r="F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8" s="195">
        <f>+Table1[[#This Row],[Doanh số]]/Table1[[#This Row],[KPI]]</f>
        <v>3.0555555555555555E-2</v>
      </c>
      <c r="J8" s="199" t="s">
        <v>472</v>
      </c>
      <c r="K8" s="200">
        <v>2100</v>
      </c>
      <c r="L8" s="200">
        <v>2000</v>
      </c>
      <c r="M8" s="200">
        <v>2400</v>
      </c>
      <c r="N8" s="200">
        <v>3200</v>
      </c>
      <c r="O8" s="200"/>
      <c r="P8" s="200"/>
      <c r="Q8" s="200"/>
      <c r="R8" s="197">
        <f>SUM(K8:Q8)</f>
        <v>9700</v>
      </c>
    </row>
    <row r="9" spans="1:19" x14ac:dyDescent="0.2">
      <c r="A9" s="189">
        <v>1</v>
      </c>
      <c r="B9" s="190" t="s">
        <v>87</v>
      </c>
      <c r="C9" s="198" t="str">
        <f>VLOOKUP(Table1[[#This Row],[Nhân sự]],'DROPDOWNDATA-NOFILL'!$A$1:$B$40,2,FALSE)</f>
        <v>BU 1</v>
      </c>
      <c r="D9" s="193">
        <v>300000000</v>
      </c>
      <c r="E9" s="193">
        <f>SUMIFS('Data Doanh số'!$J:$J,'Data Doanh số'!$P:$P,Table1[[#This Row],[Nhân sự]],'Data Doanh số'!$X:$X,A9)</f>
        <v>328703000</v>
      </c>
      <c r="F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9" s="195">
        <f>+Table1[[#This Row],[Doanh số]]/Table1[[#This Row],[KPI]]</f>
        <v>1.0956766666666666</v>
      </c>
      <c r="J9" s="199"/>
      <c r="K9" s="200"/>
      <c r="L9" s="200"/>
      <c r="M9" s="200"/>
      <c r="N9" s="200"/>
      <c r="O9" s="200"/>
      <c r="P9" s="200"/>
      <c r="Q9" s="200"/>
      <c r="R9" s="196"/>
    </row>
    <row r="10" spans="1:19" x14ac:dyDescent="0.2">
      <c r="A10" s="189">
        <v>1</v>
      </c>
      <c r="B10" s="190" t="s">
        <v>42</v>
      </c>
      <c r="C10" s="198" t="str">
        <f>VLOOKUP(Table1[[#This Row],[Nhân sự]],'DROPDOWNDATA-NOFILL'!$A$1:$B$40,2,FALSE)</f>
        <v>BU 1</v>
      </c>
      <c r="D10" s="193">
        <v>300000000</v>
      </c>
      <c r="E10" s="193">
        <f>SUMIFS('Data Doanh số'!$J:$J,'Data Doanh số'!$P:$P,Table1[[#This Row],[Nhân sự]],'Data Doanh số'!$X:$X,A10)</f>
        <v>217185185.07407406</v>
      </c>
      <c r="F1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10" s="195">
        <f>+Table1[[#This Row],[Doanh số]]/Table1[[#This Row],[KPI]]</f>
        <v>0.7239506169135802</v>
      </c>
      <c r="J10" s="199"/>
      <c r="K10" s="200"/>
      <c r="L10" s="200"/>
      <c r="M10" s="200"/>
      <c r="N10" s="200"/>
      <c r="O10" s="200"/>
      <c r="P10" s="200"/>
      <c r="Q10" s="200"/>
      <c r="R10" s="202">
        <f>+R4+R5+R8</f>
        <v>29040</v>
      </c>
    </row>
    <row r="11" spans="1:19" x14ac:dyDescent="0.2">
      <c r="A11" s="189">
        <v>1</v>
      </c>
      <c r="B11" s="190" t="s">
        <v>105</v>
      </c>
      <c r="C11" s="198" t="str">
        <f>VLOOKUP(Table1[[#This Row],[Nhân sự]],'DROPDOWNDATA-NOFILL'!$A$1:$B$40,2,FALSE)</f>
        <v>BU 1</v>
      </c>
      <c r="D11" s="193">
        <v>350000000</v>
      </c>
      <c r="E11" s="193">
        <f>SUMIFS('Data Doanh số'!$J:$J,'Data Doanh số'!$P:$P,Table1[[#This Row],[Nhân sự]],'Data Doanh số'!$X:$X,A11)</f>
        <v>444545607.40740734</v>
      </c>
      <c r="F1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11" s="195">
        <f>+Table1[[#This Row],[Doanh số]]/Table1[[#This Row],[KPI]]</f>
        <v>1.2701303068783067</v>
      </c>
      <c r="J11" s="199"/>
      <c r="K11" s="200"/>
      <c r="L11" s="200"/>
      <c r="M11" s="200"/>
      <c r="N11" s="200"/>
      <c r="O11" s="200"/>
      <c r="P11" s="200"/>
      <c r="Q11" s="200"/>
      <c r="R11" s="196"/>
    </row>
    <row r="12" spans="1:19" x14ac:dyDescent="0.2">
      <c r="A12" s="189">
        <v>1</v>
      </c>
      <c r="B12" s="190" t="s">
        <v>83</v>
      </c>
      <c r="C12" s="198" t="str">
        <f>VLOOKUP(Table1[[#This Row],[Nhân sự]],'DROPDOWNDATA-NOFILL'!$A$1:$B$40,2,FALSE)</f>
        <v>BU 1</v>
      </c>
      <c r="D12" s="193">
        <v>300000000</v>
      </c>
      <c r="E12" s="193">
        <f>SUMIFS('Data Doanh số'!$J:$J,'Data Doanh số'!$P:$P,Table1[[#This Row],[Nhân sự]],'Data Doanh số'!$X:$X,A12)</f>
        <v>337115981</v>
      </c>
      <c r="F1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12" s="195">
        <f>+Table1[[#This Row],[Doanh số]]/Table1[[#This Row],[KPI]]</f>
        <v>1.1237199366666666</v>
      </c>
      <c r="J12" s="199"/>
      <c r="K12" s="200"/>
      <c r="L12" s="200"/>
      <c r="M12" s="200"/>
      <c r="N12" s="200"/>
      <c r="O12" s="200"/>
      <c r="P12" s="200"/>
      <c r="Q12" s="200"/>
      <c r="R12" s="196"/>
    </row>
    <row r="13" spans="1:19" x14ac:dyDescent="0.2">
      <c r="A13" s="189">
        <v>1</v>
      </c>
      <c r="B13" s="190" t="s">
        <v>140</v>
      </c>
      <c r="C13" s="198" t="str">
        <f>VLOOKUP(Table1[[#This Row],[Nhân sự]],'DROPDOWNDATA-NOFILL'!$A$1:$B$40,2,FALSE)</f>
        <v>BU 1</v>
      </c>
      <c r="D13" s="193">
        <v>300000000</v>
      </c>
      <c r="E13" s="193">
        <f>SUMIFS('Data Doanh số'!$J:$J,'Data Doanh số'!$P:$P,Table1[[#This Row],[Nhân sự]],'Data Doanh số'!$X:$X,A13)</f>
        <v>0</v>
      </c>
      <c r="F1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13" s="195">
        <f>+Table1[[#This Row],[Doanh số]]/Table1[[#This Row],[KPI]]</f>
        <v>0</v>
      </c>
      <c r="J13" s="199"/>
      <c r="K13" s="200"/>
      <c r="L13" s="200"/>
      <c r="M13" s="200"/>
      <c r="N13" s="200"/>
      <c r="O13" s="200"/>
      <c r="P13" s="200"/>
      <c r="Q13" s="200"/>
      <c r="R13" s="196"/>
    </row>
    <row r="14" spans="1:19" x14ac:dyDescent="0.2">
      <c r="A14" s="222">
        <v>1</v>
      </c>
      <c r="B14" s="223" t="s">
        <v>403</v>
      </c>
      <c r="C14" s="224" t="e">
        <f>VLOOKUP(Table1[[#This Row],[Nhân sự]],'DROPDOWNDATA-NOFILL'!$A$1:$B$40,2,FALSE)</f>
        <v>#N/A</v>
      </c>
      <c r="D14" s="225">
        <v>1200000000</v>
      </c>
      <c r="E14" s="226">
        <f>SUMIFS('Data Doanh số'!$J:$J,'Data Doanh số'!$Q:$Q,Table1[[#This Row],[Nhân sự]],'Data Doanh số'!$X:$X,Table1[[#This Row],[Tháng]])</f>
        <v>20833333.333333332</v>
      </c>
      <c r="F14" s="227">
        <f>COUNTIFS('Data Doanh số'!$Q:$Q,Table1[[#This Row],[Nhân sự]],'Data Doanh số'!$X:$X,Table1[[#This Row],[Tháng]])</f>
        <v>1</v>
      </c>
      <c r="G14" s="228">
        <f>+Table1[[#This Row],[Doanh số]]/Table1[[#This Row],[KPI]]</f>
        <v>1.7361111111111108E-2</v>
      </c>
      <c r="J14" s="199"/>
      <c r="K14" s="200"/>
      <c r="L14" s="200"/>
      <c r="M14" s="200"/>
      <c r="N14" s="200"/>
      <c r="O14" s="200"/>
      <c r="P14" s="200"/>
      <c r="Q14" s="200"/>
      <c r="R14" s="196"/>
    </row>
    <row r="15" spans="1:19" x14ac:dyDescent="0.2">
      <c r="A15" s="189">
        <v>1</v>
      </c>
      <c r="B15" s="190" t="s">
        <v>153</v>
      </c>
      <c r="C15" s="198" t="str">
        <f>VLOOKUP(Table1[[#This Row],[Nhân sự]],'DROPDOWNDATA-NOFILL'!$A$1:$B$40,2,FALSE)</f>
        <v>BU 2</v>
      </c>
      <c r="D15" s="193">
        <v>500000000</v>
      </c>
      <c r="E15" s="193">
        <f>SUMIFS('Data Doanh số'!$J:$J,'Data Doanh số'!$P:$P,Table1[[#This Row],[Nhân sự]],'Data Doanh số'!$X:$X,A15)</f>
        <v>0</v>
      </c>
      <c r="F1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15" s="195">
        <f>+Table1[[#This Row],[Doanh số]]/Table1[[#This Row],[KPI]]</f>
        <v>0</v>
      </c>
      <c r="J15" s="199"/>
      <c r="K15" s="200"/>
      <c r="L15" s="200"/>
      <c r="M15" s="200"/>
      <c r="N15" s="200"/>
      <c r="O15" s="200"/>
      <c r="P15" s="200"/>
      <c r="Q15" s="200"/>
      <c r="R15" s="196"/>
    </row>
    <row r="16" spans="1:19" x14ac:dyDescent="0.2">
      <c r="A16" s="189">
        <v>1</v>
      </c>
      <c r="B16" s="190" t="s">
        <v>55</v>
      </c>
      <c r="C16" s="191" t="str">
        <f>VLOOKUP(Table1[[#This Row],[Nhân sự]],'DROPDOWNDATA-NOFILL'!$A$1:$B$40,2,FALSE)</f>
        <v>BU 2</v>
      </c>
      <c r="D16" s="203">
        <v>400000000</v>
      </c>
      <c r="E16" s="193">
        <f>SUMIFS('Data Doanh số'!$J:$J,'Data Doanh số'!$P:$P,Table1[[#This Row],[Nhân sự]],'Data Doanh số'!$X:$X,A16)</f>
        <v>20833333.333333332</v>
      </c>
      <c r="F1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16" s="195">
        <f>+Table1[[#This Row],[Doanh số]]/Table1[[#This Row],[KPI]]</f>
        <v>5.2083333333333329E-2</v>
      </c>
      <c r="H16" s="201"/>
    </row>
    <row r="17" spans="1:8" x14ac:dyDescent="0.2">
      <c r="A17" s="222">
        <v>1</v>
      </c>
      <c r="B17" s="223" t="s">
        <v>405</v>
      </c>
      <c r="C17" s="224" t="e">
        <f>VLOOKUP(Table1[[#This Row],[Nhân sự]],'DROPDOWNDATA-NOFILL'!$A$1:$B$40,2,FALSE)</f>
        <v>#N/A</v>
      </c>
      <c r="D17" s="225">
        <f>SUBTOTAL(9,D18:D21)</f>
        <v>2000000000</v>
      </c>
      <c r="E17" s="226">
        <f>SUMIFS('Data Doanh số'!$J:$J,'Data Doanh số'!$Q:$Q,Table1[[#This Row],[Nhân sự]],'Data Doanh số'!$X:$X,Table1[[#This Row],[Tháng]])</f>
        <v>472828676.85185182</v>
      </c>
      <c r="F17" s="227">
        <f>COUNTIFS('Data Doanh số'!$Q:$Q,Table1[[#This Row],[Nhân sự]],'Data Doanh số'!$X:$X,Table1[[#This Row],[Tháng]])</f>
        <v>5</v>
      </c>
      <c r="G17" s="228">
        <f>+Table1[[#This Row],[Doanh số]]/Table1[[#This Row],[KPI]]</f>
        <v>0.23641433842592591</v>
      </c>
      <c r="H17" s="201"/>
    </row>
    <row r="18" spans="1:8" x14ac:dyDescent="0.2">
      <c r="A18" s="189">
        <v>1</v>
      </c>
      <c r="B18" s="205" t="s">
        <v>59</v>
      </c>
      <c r="C18" s="206" t="str">
        <f>VLOOKUP(Table1[[#This Row],[Nhân sự]],'DROPDOWNDATA-NOFILL'!$A$1:$B$40,2,FALSE)</f>
        <v>BU 3</v>
      </c>
      <c r="D18" s="193">
        <v>500000000</v>
      </c>
      <c r="E18" s="207">
        <f>SUMIFS('Data Doanh số'!$J:$J,'Data Doanh số'!$P:$P,Table1[[#This Row],[Nhân sự]],'Data Doanh số'!$X:$X,A18)</f>
        <v>180833333.33333331</v>
      </c>
      <c r="F1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18" s="195">
        <f>+Table1[[#This Row],[Doanh số]]/Table1[[#This Row],[KPI]]</f>
        <v>0.36166666666666664</v>
      </c>
      <c r="H18" s="201"/>
    </row>
    <row r="19" spans="1:8" x14ac:dyDescent="0.2">
      <c r="A19" s="189">
        <v>1</v>
      </c>
      <c r="B19" s="205" t="s">
        <v>92</v>
      </c>
      <c r="C19" s="206" t="str">
        <f>VLOOKUP(Table1[[#This Row],[Nhân sự]],'DROPDOWNDATA-NOFILL'!$A$1:$B$40,2,FALSE)</f>
        <v>BU 3</v>
      </c>
      <c r="D19" s="193">
        <v>100000000</v>
      </c>
      <c r="E19" s="207">
        <f>SUMIFS('Data Doanh số'!$J:$J,'Data Doanh số'!$P:$P,Table1[[#This Row],[Nhân sự]],'Data Doanh số'!$X:$X,A19)</f>
        <v>44979629.629629627</v>
      </c>
      <c r="F1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19" s="195">
        <f>+Table1[[#This Row],[Doanh số]]/Table1[[#This Row],[KPI]]</f>
        <v>0.44979629629629625</v>
      </c>
      <c r="H19" s="201"/>
    </row>
    <row r="20" spans="1:8" x14ac:dyDescent="0.2">
      <c r="A20" s="189">
        <v>1</v>
      </c>
      <c r="B20" s="190" t="s">
        <v>170</v>
      </c>
      <c r="C20" s="206" t="str">
        <f>VLOOKUP(Table1[[#This Row],[Nhân sự]],'DROPDOWNDATA-NOFILL'!$A$1:$B$40,2,FALSE)</f>
        <v>BU 3</v>
      </c>
      <c r="D20" s="203">
        <v>800000000</v>
      </c>
      <c r="E20" s="207">
        <f>SUMIFS('Data Doanh số'!$J:$J,'Data Doanh số'!$P:$P,Table1[[#This Row],[Nhân sự]],'Data Doanh số'!$X:$X,A20)</f>
        <v>0</v>
      </c>
      <c r="F2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20" s="195">
        <f>+Table1[[#This Row],[Doanh số]]/Table1[[#This Row],[KPI]]</f>
        <v>0</v>
      </c>
      <c r="H20" s="201"/>
    </row>
    <row r="21" spans="1:8" x14ac:dyDescent="0.2">
      <c r="A21" s="189">
        <v>1</v>
      </c>
      <c r="B21" s="190" t="s">
        <v>63</v>
      </c>
      <c r="C21" s="206" t="str">
        <f>VLOOKUP(Table1[[#This Row],[Nhân sự]],'DROPDOWNDATA-NOFILL'!$A$1:$B$40,2,FALSE)</f>
        <v>BU 3</v>
      </c>
      <c r="D21" s="203">
        <v>600000000</v>
      </c>
      <c r="E21" s="207">
        <f>SUMIFS('Data Doanh số'!$J:$J,'Data Doanh số'!$P:$P,Table1[[#This Row],[Nhân sự]],'Data Doanh số'!$X:$X,A21)</f>
        <v>247015713.88888887</v>
      </c>
      <c r="F2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21" s="195">
        <f>+Table1[[#This Row],[Doanh số]]/Table1[[#This Row],[KPI]]</f>
        <v>0.41169285648148146</v>
      </c>
      <c r="H21" s="201"/>
    </row>
    <row r="22" spans="1:8" x14ac:dyDescent="0.2">
      <c r="A22" s="222">
        <v>1</v>
      </c>
      <c r="B22" s="223" t="s">
        <v>117</v>
      </c>
      <c r="C22" s="224" t="e">
        <f>VLOOKUP(Table1[[#This Row],[Nhân sự]],'DROPDOWNDATA-NOFILL'!$A$1:$B$40,2,FALSE)</f>
        <v>#N/A</v>
      </c>
      <c r="D22" s="225">
        <f>+D23</f>
        <v>20000000</v>
      </c>
      <c r="E22" s="226">
        <f>E23</f>
        <v>8238292.5925925924</v>
      </c>
      <c r="F22" s="229">
        <f>F23</f>
        <v>17</v>
      </c>
      <c r="G22" s="228">
        <f>+Table1[[#This Row],[Doanh số]]/Table1[[#This Row],[KPI]]</f>
        <v>0.4119146296296296</v>
      </c>
      <c r="H22" s="201"/>
    </row>
    <row r="23" spans="1:8" x14ac:dyDescent="0.2">
      <c r="A23" s="189">
        <v>1</v>
      </c>
      <c r="B23" s="190" t="s">
        <v>118</v>
      </c>
      <c r="C23" s="191" t="str">
        <f>VLOOKUP(Table1[[#This Row],[Nhân sự]],'DROPDOWNDATA-NOFILL'!$A$1:$B$40,2,FALSE)</f>
        <v>TMĐT</v>
      </c>
      <c r="D23" s="203">
        <v>20000000</v>
      </c>
      <c r="E23" s="193">
        <f>SUMIFS('Data Doanh số'!$J:$J,'Data Doanh số'!$P:$P,Table1[[#This Row],[Nhân sự]],'Data Doanh số'!$X:$X,A23)</f>
        <v>8238292.5925925924</v>
      </c>
      <c r="F23" s="204">
        <v>17</v>
      </c>
      <c r="G23" s="195">
        <f>+Table1[[#This Row],[Doanh số]]/Table1[[#This Row],[KPI]]</f>
        <v>0.4119146296296296</v>
      </c>
      <c r="H23" s="201"/>
    </row>
    <row r="24" spans="1:8" x14ac:dyDescent="0.2">
      <c r="A24" s="214" t="s">
        <v>471</v>
      </c>
      <c r="B24" s="215"/>
      <c r="C24" s="216"/>
      <c r="D24" s="217"/>
      <c r="E24" s="218"/>
      <c r="F24" s="219"/>
      <c r="G24" s="220"/>
      <c r="H24" s="201"/>
    </row>
    <row r="25" spans="1:8" x14ac:dyDescent="0.2">
      <c r="A25" s="222">
        <v>2</v>
      </c>
      <c r="B25" s="223" t="s">
        <v>442</v>
      </c>
      <c r="C25" s="230"/>
      <c r="D25" s="225">
        <f>+SUBTOTAL(9,D26:D28)</f>
        <v>1500000000</v>
      </c>
      <c r="E25" s="226">
        <f>SUMIFS('Data Doanh số'!$J:$J,'Data Doanh số'!$Q:$Q,Table1[[#This Row],[Nhân sự]],'Data Doanh số'!$X:$X,Table1[[#This Row],[Tháng]])</f>
        <v>75062066.666666672</v>
      </c>
      <c r="F25" s="227">
        <f>COUNTIFS('Data Doanh số'!$Q:$Q,Table1[[#This Row],[Nhân sự]],'Data Doanh số'!$X:$X,Table1[[#This Row],[Tháng]])</f>
        <v>2</v>
      </c>
      <c r="G25" s="231"/>
    </row>
    <row r="26" spans="1:8" x14ac:dyDescent="0.2">
      <c r="A26" s="221">
        <v>2</v>
      </c>
      <c r="B26" s="190" t="s">
        <v>80</v>
      </c>
      <c r="C26" s="191" t="str">
        <f>VLOOKUP(Table1[[#This Row],[Nhân sự]],'DROPDOWNDATA-NOFILL'!$A$1:$B$40,2,FALSE)</f>
        <v>BU HCM</v>
      </c>
      <c r="D26" s="203">
        <v>800000000</v>
      </c>
      <c r="E26" s="193">
        <f>SUMIFS('Data Doanh số'!$J:$J,'Data Doanh số'!$P:$P,Table1[[#This Row],[Nhân sự]],'Data Doanh số'!$X:$X,A26)</f>
        <v>71395400</v>
      </c>
      <c r="F2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26" s="195">
        <f>+Table1[[#This Row],[Doanh số]]/Table1[[#This Row],[KPI]]</f>
        <v>8.9244249999999997E-2</v>
      </c>
    </row>
    <row r="27" spans="1:8" x14ac:dyDescent="0.2">
      <c r="A27" s="189">
        <v>2</v>
      </c>
      <c r="B27" s="190" t="s">
        <v>33</v>
      </c>
      <c r="C27" s="191" t="str">
        <f>VLOOKUP(Table1[[#This Row],[Nhân sự]],'DROPDOWNDATA-NOFILL'!$A$1:$B$40,2,FALSE)</f>
        <v>BU HCM</v>
      </c>
      <c r="D27" s="203">
        <v>400000000</v>
      </c>
      <c r="E27" s="193">
        <f>SUMIFS('Data Doanh số'!$J:$J,'Data Doanh số'!$P:$P,Table1[[#This Row],[Nhân sự]],'Data Doanh số'!$X:$X,A27)</f>
        <v>0</v>
      </c>
      <c r="F2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27" s="195">
        <f>+Table1[[#This Row],[Doanh số]]/Table1[[#This Row],[KPI]]</f>
        <v>0</v>
      </c>
    </row>
    <row r="28" spans="1:8" x14ac:dyDescent="0.2">
      <c r="A28" s="189">
        <v>2</v>
      </c>
      <c r="B28" s="190" t="s">
        <v>126</v>
      </c>
      <c r="C28" s="191" t="str">
        <f>VLOOKUP(Table1[[#This Row],[Nhân sự]],'DROPDOWNDATA-NOFILL'!$A$1:$B$40,2,FALSE)</f>
        <v>BU HCM</v>
      </c>
      <c r="D28" s="203">
        <v>300000000</v>
      </c>
      <c r="E28" s="193">
        <f>SUMIFS('Data Doanh số'!$J:$J,'Data Doanh số'!$P:$P,Table1[[#This Row],[Nhân sự]],'Data Doanh số'!$X:$X,A28)</f>
        <v>3666666.6666666665</v>
      </c>
      <c r="F2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28" s="195">
        <f>+Table1[[#This Row],[Doanh số]]/Table1[[#This Row],[KPI]]</f>
        <v>1.2222222222222221E-2</v>
      </c>
    </row>
    <row r="29" spans="1:8" x14ac:dyDescent="0.2">
      <c r="A29" s="222">
        <v>2</v>
      </c>
      <c r="B29" s="223" t="s">
        <v>402</v>
      </c>
      <c r="C29" s="224"/>
      <c r="D29" s="225">
        <f>SUBTOTAL(9,D30:D36)</f>
        <v>2200000000</v>
      </c>
      <c r="E29" s="226">
        <f>SUMIFS('Data Doanh số'!$J:$J,'Data Doanh số'!$Q:$Q,Table1[[#This Row],[Nhân sự]],'Data Doanh số'!$X:$X,Table1[[#This Row],[Tháng]])</f>
        <v>614144444.96296287</v>
      </c>
      <c r="F29" s="227">
        <f>COUNTIFS('Data Doanh số'!$Q:$Q,Table1[[#This Row],[Nhân sự]],'Data Doanh số'!$X:$X,Table1[[#This Row],[Tháng]])</f>
        <v>9</v>
      </c>
      <c r="G29" s="228">
        <f>+Table1[[#This Row],[Doanh số]]/Table1[[#This Row],[KPI]]</f>
        <v>0.27915656589225585</v>
      </c>
    </row>
    <row r="30" spans="1:8" x14ac:dyDescent="0.2">
      <c r="A30" s="189">
        <v>2</v>
      </c>
      <c r="B30" s="190" t="s">
        <v>71</v>
      </c>
      <c r="C30" s="191" t="str">
        <f>VLOOKUP(Table1[[#This Row],[Nhân sự]],'DROPDOWNDATA-NOFILL'!$A$1:$B$40,2,FALSE)</f>
        <v>BU 1</v>
      </c>
      <c r="D30" s="203">
        <v>300000000</v>
      </c>
      <c r="E30" s="193">
        <f>SUMIFS('Data Doanh số'!$J:$J,'Data Doanh số'!$P:$P,Table1[[#This Row],[Nhân sự]],'Data Doanh số'!$X:$X,A30)</f>
        <v>118741667</v>
      </c>
      <c r="F3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30" s="195">
        <f>+Table1[[#This Row],[Doanh số]]/Table1[[#This Row],[KPI]]</f>
        <v>0.39580555666666667</v>
      </c>
    </row>
    <row r="31" spans="1:8" x14ac:dyDescent="0.2">
      <c r="A31" s="189">
        <v>2</v>
      </c>
      <c r="B31" s="190" t="s">
        <v>113</v>
      </c>
      <c r="C31" s="191" t="str">
        <f>VLOOKUP(Table1[[#This Row],[Nhân sự]],'DROPDOWNDATA-NOFILL'!$A$1:$B$40,2,FALSE)</f>
        <v>BU 1</v>
      </c>
      <c r="D31" s="203">
        <v>350000000</v>
      </c>
      <c r="E31" s="193">
        <f>SUMIFS('Data Doanh số'!$J:$J,'Data Doanh số'!$P:$P,Table1[[#This Row],[Nhân sự]],'Data Doanh số'!$X:$X,A31)</f>
        <v>31018518.518518515</v>
      </c>
      <c r="F3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31" s="195">
        <f>+Table1[[#This Row],[Doanh số]]/Table1[[#This Row],[KPI]]</f>
        <v>8.8624338624338619E-2</v>
      </c>
    </row>
    <row r="32" spans="1:8" x14ac:dyDescent="0.2">
      <c r="A32" s="189">
        <v>2</v>
      </c>
      <c r="B32" s="190" t="s">
        <v>87</v>
      </c>
      <c r="C32" s="191" t="str">
        <f>VLOOKUP(Table1[[#This Row],[Nhân sự]],'DROPDOWNDATA-NOFILL'!$A$1:$B$40,2,FALSE)</f>
        <v>BU 1</v>
      </c>
      <c r="D32" s="203">
        <v>300000000</v>
      </c>
      <c r="E32" s="193">
        <f>SUMIFS('Data Doanh số'!$J:$J,'Data Doanh số'!$P:$P,Table1[[#This Row],[Nhân sự]],'Data Doanh số'!$X:$X,A32)</f>
        <v>277777778</v>
      </c>
      <c r="F3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32" s="195">
        <f>+Table1[[#This Row],[Doanh số]]/Table1[[#This Row],[KPI]]</f>
        <v>0.92592592666666662</v>
      </c>
    </row>
    <row r="33" spans="1:9" x14ac:dyDescent="0.2">
      <c r="A33" s="189">
        <v>2</v>
      </c>
      <c r="B33" s="190" t="s">
        <v>42</v>
      </c>
      <c r="C33" s="191" t="str">
        <f>VLOOKUP(Table1[[#This Row],[Nhân sự]],'DROPDOWNDATA-NOFILL'!$A$1:$B$40,2,FALSE)</f>
        <v>BU 1</v>
      </c>
      <c r="D33" s="203">
        <v>300000000</v>
      </c>
      <c r="E33" s="193">
        <f>SUMIFS('Data Doanh số'!$J:$J,'Data Doanh số'!$P:$P,Table1[[#This Row],[Nhân sự]],'Data Doanh số'!$X:$X,A33)</f>
        <v>76944444.444444433</v>
      </c>
      <c r="F3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33" s="195">
        <f>+Table1[[#This Row],[Doanh số]]/Table1[[#This Row],[KPI]]</f>
        <v>0.25648148148148142</v>
      </c>
    </row>
    <row r="34" spans="1:9" x14ac:dyDescent="0.2">
      <c r="A34" s="189">
        <v>2</v>
      </c>
      <c r="B34" s="190" t="s">
        <v>105</v>
      </c>
      <c r="C34" s="191" t="str">
        <f>VLOOKUP(Table1[[#This Row],[Nhân sự]],'DROPDOWNDATA-NOFILL'!$A$1:$B$40,2,FALSE)</f>
        <v>BU 1</v>
      </c>
      <c r="D34" s="203">
        <v>350000000</v>
      </c>
      <c r="E34" s="193">
        <f>SUMIFS('Data Doanh số'!$J:$J,'Data Doanh số'!$P:$P,Table1[[#This Row],[Nhân sự]],'Data Doanh số'!$X:$X,A34)</f>
        <v>0</v>
      </c>
      <c r="F3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34" s="195">
        <f>+Table1[[#This Row],[Doanh số]]/Table1[[#This Row],[KPI]]</f>
        <v>0</v>
      </c>
    </row>
    <row r="35" spans="1:9" x14ac:dyDescent="0.2">
      <c r="A35" s="189">
        <v>2</v>
      </c>
      <c r="B35" s="190" t="s">
        <v>83</v>
      </c>
      <c r="C35" s="191" t="str">
        <f>VLOOKUP(Table1[[#This Row],[Nhân sự]],'DROPDOWNDATA-NOFILL'!$A$1:$B$40,2,FALSE)</f>
        <v>BU 1</v>
      </c>
      <c r="D35" s="203">
        <v>300000000</v>
      </c>
      <c r="E35" s="193">
        <f>SUMIFS('Data Doanh số'!$J:$J,'Data Doanh số'!$P:$P,Table1[[#This Row],[Nhân sự]],'Data Doanh số'!$X:$X,A35)</f>
        <v>0</v>
      </c>
      <c r="F3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35" s="195">
        <f>+Table1[[#This Row],[Doanh số]]/Table1[[#This Row],[KPI]]</f>
        <v>0</v>
      </c>
    </row>
    <row r="36" spans="1:9" x14ac:dyDescent="0.2">
      <c r="A36" s="189">
        <v>2</v>
      </c>
      <c r="B36" s="190" t="s">
        <v>140</v>
      </c>
      <c r="C36" s="191" t="str">
        <f>VLOOKUP(Table1[[#This Row],[Nhân sự]],'DROPDOWNDATA-NOFILL'!$A$1:$B$40,2,FALSE)</f>
        <v>BU 1</v>
      </c>
      <c r="D36" s="203">
        <v>300000000</v>
      </c>
      <c r="E36" s="193">
        <f>SUMIFS('Data Doanh số'!$J:$J,'Data Doanh số'!$P:$P,Table1[[#This Row],[Nhân sự]],'Data Doanh số'!$X:$X,A36)</f>
        <v>109662037</v>
      </c>
      <c r="F3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36" s="195">
        <f>+Table1[[#This Row],[Doanh số]]/Table1[[#This Row],[KPI]]</f>
        <v>0.36554012333333336</v>
      </c>
    </row>
    <row r="37" spans="1:9" x14ac:dyDescent="0.2">
      <c r="A37" s="222">
        <v>2</v>
      </c>
      <c r="B37" s="223" t="s">
        <v>403</v>
      </c>
      <c r="C37" s="224" t="e">
        <f>VLOOKUP(Table1[[#This Row],[Nhân sự]],'DROPDOWNDATA-NOFILL'!$A$1:$B$40,2,FALSE)</f>
        <v>#N/A</v>
      </c>
      <c r="D37" s="225">
        <v>1400000000</v>
      </c>
      <c r="E37" s="226">
        <f>SUMIFS('Data Doanh số'!$J:$J,'Data Doanh số'!$Q:$Q,Table1[[#This Row],[Nhân sự]],'Data Doanh số'!$X:$X,Table1[[#This Row],[Tháng]])</f>
        <v>130451381.48148148</v>
      </c>
      <c r="F37" s="227">
        <f>COUNTIFS('Data Doanh số'!$Q:$Q,Table1[[#This Row],[Nhân sự]],'Data Doanh số'!$X:$X,Table1[[#This Row],[Tháng]])</f>
        <v>4</v>
      </c>
      <c r="G37" s="228">
        <f>+Table1[[#This Row],[Doanh số]]/Table1[[#This Row],[KPI]]</f>
        <v>9.3179558201058194E-2</v>
      </c>
    </row>
    <row r="38" spans="1:9" x14ac:dyDescent="0.2">
      <c r="A38" s="189">
        <v>2</v>
      </c>
      <c r="B38" s="190" t="s">
        <v>153</v>
      </c>
      <c r="C38" s="191" t="str">
        <f>VLOOKUP(Table1[[#This Row],[Nhân sự]],'DROPDOWNDATA-NOFILL'!$A$1:$B$40,2,FALSE)</f>
        <v>BU 2</v>
      </c>
      <c r="D38" s="203">
        <v>600000000</v>
      </c>
      <c r="E38" s="193">
        <f>SUMIFS('Data Doanh số'!$J:$J,'Data Doanh số'!$P:$P,Table1[[#This Row],[Nhân sự]],'Data Doanh số'!$X:$X,A38)</f>
        <v>130451381.48148148</v>
      </c>
      <c r="F3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38" s="195">
        <f>+Table1[[#This Row],[Doanh số]]/Table1[[#This Row],[KPI]]</f>
        <v>0.21741896913580247</v>
      </c>
    </row>
    <row r="39" spans="1:9" x14ac:dyDescent="0.2">
      <c r="A39" s="189">
        <v>2</v>
      </c>
      <c r="B39" s="190" t="s">
        <v>55</v>
      </c>
      <c r="C39" s="191" t="str">
        <f>VLOOKUP(Table1[[#This Row],[Nhân sự]],'DROPDOWNDATA-NOFILL'!$A$1:$B$40,2,FALSE)</f>
        <v>BU 2</v>
      </c>
      <c r="D39" s="203">
        <v>400000000</v>
      </c>
      <c r="E39" s="193">
        <f>SUMIFS('Data Doanh số'!$J:$J,'Data Doanh số'!$P:$P,Table1[[#This Row],[Nhân sự]],'Data Doanh số'!$X:$X,A39)</f>
        <v>0</v>
      </c>
      <c r="F3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39" s="195">
        <f>+Table1[[#This Row],[Doanh số]]/Table1[[#This Row],[KPI]]</f>
        <v>0</v>
      </c>
    </row>
    <row r="40" spans="1:9" x14ac:dyDescent="0.2">
      <c r="A40" s="222">
        <v>2</v>
      </c>
      <c r="B40" s="223" t="s">
        <v>405</v>
      </c>
      <c r="C40" s="224" t="e">
        <f>VLOOKUP(Table1[[#This Row],[Nhân sự]],'DROPDOWNDATA-NOFILL'!$A$1:$B$40,2,FALSE)</f>
        <v>#N/A</v>
      </c>
      <c r="D40" s="225">
        <f>SUBTOTAL(9,D41:D44)</f>
        <v>1600000000</v>
      </c>
      <c r="E40" s="226">
        <f>SUMIFS('Data Doanh số'!$J:$J,'Data Doanh số'!$Q:$Q,Table1[[#This Row],[Nhân sự]],'Data Doanh số'!$X:$X,Table1[[#This Row],[Tháng]])</f>
        <v>1607738327.259259</v>
      </c>
      <c r="F40" s="227">
        <f>COUNTIFS('Data Doanh số'!$Q:$Q,Table1[[#This Row],[Nhân sự]],'Data Doanh số'!$X:$X,Table1[[#This Row],[Tháng]])</f>
        <v>4</v>
      </c>
      <c r="G40" s="228">
        <f>+Table1[[#This Row],[Doanh số]]/Table1[[#This Row],[KPI]]</f>
        <v>1.004836454537037</v>
      </c>
      <c r="H40" s="201"/>
    </row>
    <row r="41" spans="1:9" x14ac:dyDescent="0.2">
      <c r="A41" s="189">
        <v>2</v>
      </c>
      <c r="B41" s="190" t="s">
        <v>59</v>
      </c>
      <c r="C41" s="191" t="str">
        <f>VLOOKUP(Table1[[#This Row],[Nhân sự]],'DROPDOWNDATA-NOFILL'!$A$1:$B$40,2,FALSE)</f>
        <v>BU 3</v>
      </c>
      <c r="D41" s="203">
        <v>500000000</v>
      </c>
      <c r="E41" s="193">
        <f>SUMIFS('Data Doanh số'!$J:$J,'Data Doanh số'!$P:$P,Table1[[#This Row],[Nhân sự]],'Data Doanh số'!$X:$X,A41)</f>
        <v>1238888889.2962961</v>
      </c>
      <c r="F4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41" s="195">
        <f>+Table1[[#This Row],[Doanh số]]/Table1[[#This Row],[KPI]]</f>
        <v>2.4777777785925923</v>
      </c>
      <c r="H41" s="201"/>
    </row>
    <row r="42" spans="1:9" x14ac:dyDescent="0.2">
      <c r="A42" s="189">
        <v>2</v>
      </c>
      <c r="B42" s="205" t="s">
        <v>92</v>
      </c>
      <c r="C42" s="209" t="str">
        <f>VLOOKUP(Table1[[#This Row],[Nhân sự]],'DROPDOWNDATA-NOFILL'!$A$1:$B$40,2,FALSE)</f>
        <v>BU 3</v>
      </c>
      <c r="D42" s="210">
        <v>100000000</v>
      </c>
      <c r="E42" s="193">
        <f>SUMIFS('Data Doanh số'!$J:$J,'Data Doanh số'!$P:$P,Table1[[#This Row],[Nhân sự]],'Data Doanh số'!$X:$X,A42)</f>
        <v>0</v>
      </c>
      <c r="F4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42" s="195">
        <f>+Table1[[#This Row],[Doanh số]]/Table1[[#This Row],[KPI]]</f>
        <v>0</v>
      </c>
      <c r="H42" s="201"/>
    </row>
    <row r="43" spans="1:9" x14ac:dyDescent="0.2">
      <c r="A43" s="189">
        <v>2</v>
      </c>
      <c r="B43" s="190" t="s">
        <v>170</v>
      </c>
      <c r="C43" s="209" t="str">
        <f>VLOOKUP(Table1[[#This Row],[Nhân sự]],'DROPDOWNDATA-NOFILL'!$A$1:$B$40,2,FALSE)</f>
        <v>BU 3</v>
      </c>
      <c r="D43" s="203">
        <v>500000000</v>
      </c>
      <c r="E43" s="193">
        <f>SUMIFS('Data Doanh số'!$J:$J,'Data Doanh số'!$P:$P,Table1[[#This Row],[Nhân sự]],'Data Doanh số'!$X:$X,A43)</f>
        <v>0</v>
      </c>
      <c r="F4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43" s="195">
        <f>+Table1[[#This Row],[Doanh số]]/Table1[[#This Row],[KPI]]</f>
        <v>0</v>
      </c>
      <c r="H43" s="201"/>
    </row>
    <row r="44" spans="1:9" x14ac:dyDescent="0.2">
      <c r="A44" s="189">
        <v>2</v>
      </c>
      <c r="B44" s="190" t="s">
        <v>63</v>
      </c>
      <c r="C44" s="209" t="str">
        <f>VLOOKUP(Table1[[#This Row],[Nhân sự]],'DROPDOWNDATA-NOFILL'!$A$1:$B$40,2,FALSE)</f>
        <v>BU 3</v>
      </c>
      <c r="D44" s="203">
        <v>500000000</v>
      </c>
      <c r="E44" s="193">
        <f>SUMIFS('Data Doanh số'!$J:$J,'Data Doanh số'!$P:$P,Table1[[#This Row],[Nhân sự]],'Data Doanh số'!$X:$X,A44)</f>
        <v>0</v>
      </c>
      <c r="F4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44" s="195">
        <f>+Table1[[#This Row],[Doanh số]]/Table1[[#This Row],[KPI]]</f>
        <v>0</v>
      </c>
    </row>
    <row r="45" spans="1:9" x14ac:dyDescent="0.2">
      <c r="A45" s="222">
        <v>2</v>
      </c>
      <c r="B45" s="223" t="s">
        <v>117</v>
      </c>
      <c r="C45" s="224" t="e">
        <f>VLOOKUP(Table1[[#This Row],[Nhân sự]],'DROPDOWNDATA-NOFILL'!$A$1:$B$40,2,FALSE)</f>
        <v>#N/A</v>
      </c>
      <c r="D45" s="225">
        <f>D46</f>
        <v>40000000</v>
      </c>
      <c r="E45" s="226">
        <f>E46</f>
        <v>54092073.148148142</v>
      </c>
      <c r="F45" s="229">
        <f>F46</f>
        <v>637</v>
      </c>
      <c r="G45" s="228">
        <f>+Table1[[#This Row],[Doanh số]]/Table1[[#This Row],[KPI]]</f>
        <v>1.3523018287037036</v>
      </c>
    </row>
    <row r="46" spans="1:9" x14ac:dyDescent="0.2">
      <c r="A46" s="189">
        <v>2</v>
      </c>
      <c r="B46" s="190" t="s">
        <v>118</v>
      </c>
      <c r="C46" s="191" t="str">
        <f>VLOOKUP(Table1[[#This Row],[Nhân sự]],'DROPDOWNDATA-NOFILL'!$A$1:$B$40,2,FALSE)</f>
        <v>TMĐT</v>
      </c>
      <c r="D46" s="203">
        <v>40000000</v>
      </c>
      <c r="E46" s="193">
        <f>SUMIFS('Data Doanh số'!$J:$J,'Data Doanh số'!$P:$P,Table1[[#This Row],[Nhân sự]],'Data Doanh số'!$X:$X,A46)</f>
        <v>54092073.148148142</v>
      </c>
      <c r="F46" s="204">
        <v>637</v>
      </c>
      <c r="G46" s="195">
        <f>+Table1[[#This Row],[Doanh số]]/Table1[[#This Row],[KPI]]</f>
        <v>1.3523018287037036</v>
      </c>
      <c r="I46" s="232"/>
    </row>
    <row r="47" spans="1:9" x14ac:dyDescent="0.2">
      <c r="A47" s="214" t="s">
        <v>472</v>
      </c>
      <c r="B47" s="215"/>
      <c r="C47" s="216"/>
      <c r="D47" s="217"/>
      <c r="E47" s="218"/>
      <c r="F47" s="219"/>
      <c r="G47" s="219"/>
      <c r="I47" s="232"/>
    </row>
    <row r="48" spans="1:9" x14ac:dyDescent="0.2">
      <c r="A48" s="222">
        <v>3</v>
      </c>
      <c r="B48" s="223" t="s">
        <v>442</v>
      </c>
      <c r="C48" s="230"/>
      <c r="D48" s="225">
        <v>3200000000</v>
      </c>
      <c r="E48" s="226">
        <f>SUMIFS('Data Doanh số'!$J:$J,'Data Doanh số'!$Q:$Q,Table1[[#This Row],[Nhân sự]],'Data Doanh số'!$X:$X,Table1[[#This Row],[Tháng]])</f>
        <v>9028459623.1111107</v>
      </c>
      <c r="F48" s="227">
        <f>COUNTIFS('Data Doanh số'!$Q:$Q,Table1[[#This Row],[Nhân sự]],'Data Doanh số'!$X:$X,Table1[[#This Row],[Tháng]])</f>
        <v>6</v>
      </c>
      <c r="G48" s="195">
        <f>+Table1[[#This Row],[Doanh số]]/Table1[[#This Row],[KPI]]</f>
        <v>2.8213936322222222</v>
      </c>
      <c r="I48" s="232"/>
    </row>
    <row r="49" spans="1:9" x14ac:dyDescent="0.2">
      <c r="A49" s="221">
        <v>3</v>
      </c>
      <c r="B49" s="190" t="s">
        <v>80</v>
      </c>
      <c r="C49" s="191" t="str">
        <f>VLOOKUP(Table1[[#This Row],[Nhân sự]],'DROPDOWNDATA-NOFILL'!$A$1:$B$40,2,FALSE)</f>
        <v>BU HCM</v>
      </c>
      <c r="D49" s="203">
        <v>3000000000</v>
      </c>
      <c r="E49" s="193">
        <f>SUMIFS('Data Doanh số'!$J:$J,'Data Doanh số'!$P:$P,Table1[[#This Row],[Nhân sự]],'Data Doanh số'!$X:$X,A49)+SUMIFS('HĐ Khung chuyển đổi TC'!$I:$I,'HĐ Khung chuyển đổi TC'!$L:$L,Table1[[#This Row],[Nhân sự]],'HĐ Khung chuyển đổi TC'!$T:$T,Table1[[#This Row],[Tháng]])</f>
        <v>8942496623.1111107</v>
      </c>
      <c r="F4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49" s="195">
        <f>+Table1[[#This Row],[Doanh số]]/Table1[[#This Row],[KPI]]</f>
        <v>2.9808322077037035</v>
      </c>
      <c r="I49" s="232"/>
    </row>
    <row r="50" spans="1:9" x14ac:dyDescent="0.2">
      <c r="A50" s="189">
        <v>3</v>
      </c>
      <c r="B50" s="190" t="s">
        <v>226</v>
      </c>
      <c r="C50" s="209" t="str">
        <f>VLOOKUP(Table1[[#This Row],[Nhân sự]],'DROPDOWNDATA-NOFILL'!$A$1:$B$40,2,FALSE)</f>
        <v>BU HCM</v>
      </c>
      <c r="D50" s="203">
        <v>100000000</v>
      </c>
      <c r="E50" s="193">
        <f>SUMIFS('Data Doanh số'!$J:$J,'Data Doanh số'!$P:$P,Table1[[#This Row],[Nhân sự]],'Data Doanh số'!$X:$X,A50)</f>
        <v>9000000</v>
      </c>
      <c r="F5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50" s="195">
        <f>+Table1[[#This Row],[Doanh số]]/Table1[[#This Row],[KPI]]</f>
        <v>0.09</v>
      </c>
      <c r="I50" s="232"/>
    </row>
    <row r="51" spans="1:9" x14ac:dyDescent="0.2">
      <c r="A51" s="189">
        <v>3</v>
      </c>
      <c r="B51" s="190" t="s">
        <v>229</v>
      </c>
      <c r="C51" s="209" t="str">
        <f>VLOOKUP(Table1[[#This Row],[Nhân sự]],'DROPDOWNDATA-NOFILL'!$A$1:$B$40,2,FALSE)</f>
        <v>BU HCM</v>
      </c>
      <c r="D51" s="203">
        <v>100000000</v>
      </c>
      <c r="E51" s="193">
        <f>SUMIFS('Data Doanh số'!$J:$J,'Data Doanh số'!$P:$P,Table1[[#This Row],[Nhân sự]],'Data Doanh số'!$X:$X,A51)</f>
        <v>76963000</v>
      </c>
      <c r="F5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51" s="195">
        <f>+Table1[[#This Row],[Doanh số]]/Table1[[#This Row],[KPI]]</f>
        <v>0.76963000000000004</v>
      </c>
      <c r="I51" s="232"/>
    </row>
    <row r="52" spans="1:9" x14ac:dyDescent="0.2">
      <c r="A52" s="222">
        <v>3</v>
      </c>
      <c r="B52" s="223" t="s">
        <v>402</v>
      </c>
      <c r="C52" s="224"/>
      <c r="D52" s="225">
        <f>SUBTOTAL(9,D53:D59)</f>
        <v>1800000000</v>
      </c>
      <c r="E52" s="226">
        <f>SUMIFS('Data Doanh số'!$J:$J,'Data Doanh số'!$Q:$Q,Table1[[#This Row],[Nhân sự]],'Data Doanh số'!$X:$X,Table1[[#This Row],[Tháng]])</f>
        <v>1441441579</v>
      </c>
      <c r="F52" s="227">
        <f>COUNTIFS('Data Doanh số'!$Q:$Q,Table1[[#This Row],[Nhân sự]],'Data Doanh số'!$X:$X,Table1[[#This Row],[Tháng]])</f>
        <v>15</v>
      </c>
      <c r="G52" s="231">
        <f>+Table1[[#This Row],[Doanh số]]/Table1[[#This Row],[KPI]]</f>
        <v>0.80080087722222226</v>
      </c>
      <c r="I52" s="232"/>
    </row>
    <row r="53" spans="1:9" x14ac:dyDescent="0.2">
      <c r="A53" s="189">
        <v>3</v>
      </c>
      <c r="B53" s="190" t="s">
        <v>113</v>
      </c>
      <c r="C53" s="230" t="str">
        <f>VLOOKUP(Table1[[#This Row],[Nhân sự]],'DROPDOWNDATA-NOFILL'!$A$1:$B$40,2,FALSE)</f>
        <v>BU 1</v>
      </c>
      <c r="D53" s="203"/>
      <c r="E53" s="193">
        <f>SUMIFS('Data Doanh số'!$J:$J,'Data Doanh số'!$P:$P,Table1[[#This Row],[Nhân sự]],'Data Doanh số'!$X:$X,A53)</f>
        <v>0</v>
      </c>
      <c r="F53" s="213">
        <f>COUNTIFS('Data Doanh số'!$P:$P,Table1[[#This Row],[Nhân sự]],'Data Doanh số'!$X:$X,Table1[[#This Row],[Tháng]])</f>
        <v>0</v>
      </c>
      <c r="G53" s="195"/>
      <c r="I53" s="232"/>
    </row>
    <row r="54" spans="1:9" x14ac:dyDescent="0.2">
      <c r="A54" s="189">
        <v>3</v>
      </c>
      <c r="B54" s="190" t="s">
        <v>71</v>
      </c>
      <c r="C54" s="191" t="str">
        <f>VLOOKUP(Table1[[#This Row],[Nhân sự]],'DROPDOWNDATA-NOFILL'!$A$1:$B$40,2,FALSE)</f>
        <v>BU 1</v>
      </c>
      <c r="D54" s="203">
        <v>300000000</v>
      </c>
      <c r="E54" s="193">
        <f>SUMIFS('Data Doanh số'!$J:$J,'Data Doanh số'!$P:$P,Table1[[#This Row],[Nhân sự]],'Data Doanh số'!$X:$X,A54)+SUMIFS('HĐ Khung chuyển đổi TC'!$I:$I,'HĐ Khung chuyển đổi TC'!$L:$L,Table1[[#This Row],[Nhân sự]],'HĐ Khung chuyển đổi TC'!$T:$T,Table1[[#This Row],[Tháng]])</f>
        <v>125719121</v>
      </c>
      <c r="F5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54" s="195">
        <f>+Table1[[#This Row],[Doanh số]]/Table1[[#This Row],[KPI]]</f>
        <v>0.41906373666666669</v>
      </c>
      <c r="I54" s="232"/>
    </row>
    <row r="55" spans="1:9" x14ac:dyDescent="0.2">
      <c r="A55" s="189">
        <v>3</v>
      </c>
      <c r="B55" s="190" t="s">
        <v>87</v>
      </c>
      <c r="C55" s="191" t="str">
        <f>VLOOKUP(Table1[[#This Row],[Nhân sự]],'DROPDOWNDATA-NOFILL'!$A$1:$B$40,2,FALSE)</f>
        <v>BU 1</v>
      </c>
      <c r="D55" s="203">
        <v>300000000</v>
      </c>
      <c r="E55" s="193">
        <f>SUMIFS('Data Doanh số'!$J:$J,'Data Doanh số'!$P:$P,Table1[[#This Row],[Nhân sự]],'Data Doanh số'!$X:$X,A55)+SUMIFS('HĐ Khung chuyển đổi TC'!$I:$I,'HĐ Khung chuyển đổi TC'!$L:$L,Table1[[#This Row],[Nhân sự]],'HĐ Khung chuyển đổi TC'!$T:$T,Table1[[#This Row],[Tháng]])</f>
        <v>6111111</v>
      </c>
      <c r="F5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55" s="195">
        <f>+Table1[[#This Row],[Doanh số]]/Table1[[#This Row],[KPI]]</f>
        <v>2.0370369999999999E-2</v>
      </c>
      <c r="I55" s="232"/>
    </row>
    <row r="56" spans="1:9" x14ac:dyDescent="0.2">
      <c r="A56" s="189">
        <v>3</v>
      </c>
      <c r="B56" s="190" t="s">
        <v>42</v>
      </c>
      <c r="C56" s="191" t="str">
        <f>VLOOKUP(Table1[[#This Row],[Nhân sự]],'DROPDOWNDATA-NOFILL'!$A$1:$B$40,2,FALSE)</f>
        <v>BU 1</v>
      </c>
      <c r="D56" s="203">
        <v>300000000</v>
      </c>
      <c r="E56" s="193">
        <f>SUMIFS('Data Doanh số'!$J:$J,'Data Doanh số'!$P:$P,Table1[[#This Row],[Nhân sự]],'Data Doanh số'!$X:$X,A56)+SUMIFS('HĐ Khung chuyển đổi TC'!$I:$I,'HĐ Khung chuyển đổi TC'!$L:$L,Table1[[#This Row],[Nhân sự]],'HĐ Khung chuyển đổi TC'!$T:$T,Table1[[#This Row],[Tháng]])</f>
        <v>1309574073.8148148</v>
      </c>
      <c r="F5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56" s="195">
        <f>+Table1[[#This Row],[Doanh số]]/Table1[[#This Row],[KPI]]</f>
        <v>4.3652469127160494</v>
      </c>
      <c r="I56" s="232"/>
    </row>
    <row r="57" spans="1:9" x14ac:dyDescent="0.2">
      <c r="A57" s="189">
        <v>3</v>
      </c>
      <c r="B57" s="190" t="s">
        <v>105</v>
      </c>
      <c r="C57" s="191" t="str">
        <f>VLOOKUP(Table1[[#This Row],[Nhân sự]],'DROPDOWNDATA-NOFILL'!$A$1:$B$40,2,FALSE)</f>
        <v>BU 1</v>
      </c>
      <c r="D57" s="203">
        <v>300000000</v>
      </c>
      <c r="E57" s="193">
        <f>SUMIFS('Data Doanh số'!$J:$J,'Data Doanh số'!$P:$P,Table1[[#This Row],[Nhân sự]],'Data Doanh số'!$X:$X,A57)+SUMIFS('HĐ Khung chuyển đổi TC'!$I:$I,'HĐ Khung chuyển đổi TC'!$L:$L,Table1[[#This Row],[Nhân sự]],'HĐ Khung chuyển đổi TC'!$T:$T,Table1[[#This Row],[Tháng]])</f>
        <v>1532392145.9629629</v>
      </c>
      <c r="F5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57" s="195">
        <f>+Table1[[#This Row],[Doanh số]]/Table1[[#This Row],[KPI]]</f>
        <v>5.107973819876543</v>
      </c>
      <c r="I57" s="232"/>
    </row>
    <row r="58" spans="1:9" x14ac:dyDescent="0.2">
      <c r="A58" s="189">
        <v>3</v>
      </c>
      <c r="B58" s="190" t="s">
        <v>83</v>
      </c>
      <c r="C58" s="191" t="str">
        <f>VLOOKUP(Table1[[#This Row],[Nhân sự]],'DROPDOWNDATA-NOFILL'!$A$1:$B$40,2,FALSE)</f>
        <v>BU 1</v>
      </c>
      <c r="D58" s="203">
        <v>300000000</v>
      </c>
      <c r="E58" s="193">
        <f>SUMIFS('Data Doanh số'!$J:$J,'Data Doanh số'!$P:$P,Table1[[#This Row],[Nhân sự]],'Data Doanh số'!$X:$X,A58)+SUMIFS('HĐ Khung chuyển đổi TC'!$I:$I,'HĐ Khung chuyển đổi TC'!$L:$L,Table1[[#This Row],[Nhân sự]],'HĐ Khung chuyển đổi TC'!$T:$T,Table1[[#This Row],[Tháng]])</f>
        <v>137873953</v>
      </c>
      <c r="F5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58" s="195">
        <f>+Table1[[#This Row],[Doanh số]]/Table1[[#This Row],[KPI]]</f>
        <v>0.45957984333333335</v>
      </c>
      <c r="I58" s="232"/>
    </row>
    <row r="59" spans="1:9" x14ac:dyDescent="0.2">
      <c r="A59" s="189">
        <v>3</v>
      </c>
      <c r="B59" s="190" t="s">
        <v>140</v>
      </c>
      <c r="C59" s="191" t="str">
        <f>VLOOKUP(Table1[[#This Row],[Nhân sự]],'DROPDOWNDATA-NOFILL'!$A$1:$B$40,2,FALSE)</f>
        <v>BU 1</v>
      </c>
      <c r="D59" s="203">
        <v>300000000</v>
      </c>
      <c r="E59" s="193">
        <f>SUMIFS('Data Doanh số'!$J:$J,'Data Doanh số'!$P:$P,Table1[[#This Row],[Nhân sự]],'Data Doanh số'!$X:$X,A59)+SUMIFS('HĐ Khung chuyển đổi TC'!$I:$I,'HĐ Khung chuyển đổi TC'!$L:$L,Table1[[#This Row],[Nhân sự]],'HĐ Khung chuyển đổi TC'!$T:$T,Table1[[#This Row],[Tháng]])</f>
        <v>46474189</v>
      </c>
      <c r="F5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59" s="195">
        <f>+Table1[[#This Row],[Doanh số]]/Table1[[#This Row],[KPI]]</f>
        <v>0.15491396333333332</v>
      </c>
      <c r="I59" s="232"/>
    </row>
    <row r="60" spans="1:9" x14ac:dyDescent="0.2">
      <c r="A60" s="222">
        <v>3</v>
      </c>
      <c r="B60" s="223" t="s">
        <v>403</v>
      </c>
      <c r="C60" s="224" t="e">
        <f>VLOOKUP(Table1[[#This Row],[Nhân sự]],'DROPDOWNDATA-NOFILL'!$A$1:$B$40,2,FALSE)</f>
        <v>#N/A</v>
      </c>
      <c r="D60" s="225">
        <v>1500000000</v>
      </c>
      <c r="E60" s="226">
        <f>SUMIFS('Data Doanh số'!$J:$J,'Data Doanh số'!$Q:$Q,Table1[[#This Row],[Nhân sự]],'Data Doanh số'!$X:$X,Table1[[#This Row],[Tháng]])</f>
        <v>514160134.33333337</v>
      </c>
      <c r="F60" s="227">
        <f>COUNTIFS('Data Doanh số'!$Q:$Q,Table1[[#This Row],[Nhân sự]],'Data Doanh số'!$X:$X,Table1[[#This Row],[Tháng]])</f>
        <v>8</v>
      </c>
      <c r="G60" s="231">
        <f>+Table1[[#This Row],[Doanh số]]/Table1[[#This Row],[KPI]]</f>
        <v>0.3427734228888889</v>
      </c>
      <c r="I60" s="232"/>
    </row>
    <row r="61" spans="1:9" x14ac:dyDescent="0.2">
      <c r="A61" s="189">
        <v>3</v>
      </c>
      <c r="B61" s="190" t="s">
        <v>153</v>
      </c>
      <c r="C61" s="191" t="str">
        <f>VLOOKUP(Table1[[#This Row],[Nhân sự]],'DROPDOWNDATA-NOFILL'!$A$1:$B$40,2,FALSE)</f>
        <v>BU 2</v>
      </c>
      <c r="D61" s="203">
        <v>600000000</v>
      </c>
      <c r="E61" s="193">
        <f>SUMIFS('Data Doanh số'!$J:$J,'Data Doanh số'!$P:$P,Table1[[#This Row],[Nhân sự]],'Data Doanh số'!$X:$X,A61)+SUMIFS('HĐ Khung chuyển đổi TC'!$I:$I,'HĐ Khung chuyển đổi TC'!$L:$L,Table1[[#This Row],[Nhân sự]],'HĐ Khung chuyển đổi TC'!$T:$T,Table1[[#This Row],[Tháng]])</f>
        <v>3368490530.5555558</v>
      </c>
      <c r="F6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8</v>
      </c>
      <c r="G61" s="195">
        <f>+Table1[[#This Row],[Doanh số]]/Table1[[#This Row],[KPI]]</f>
        <v>5.61415088425926</v>
      </c>
      <c r="I61" s="232"/>
    </row>
    <row r="62" spans="1:9" x14ac:dyDescent="0.2">
      <c r="A62" s="189">
        <v>3</v>
      </c>
      <c r="B62" s="190" t="s">
        <v>55</v>
      </c>
      <c r="C62" s="191" t="str">
        <f>VLOOKUP(Table1[[#This Row],[Nhân sự]],'DROPDOWNDATA-NOFILL'!$A$1:$B$40,2,FALSE)</f>
        <v>BU 2</v>
      </c>
      <c r="D62" s="203">
        <v>500000000</v>
      </c>
      <c r="E62" s="193">
        <f>SUMIFS('Data Doanh số'!$J:$J,'Data Doanh số'!$P:$P,Table1[[#This Row],[Nhân sự]],'Data Doanh số'!$X:$X,A62)+SUMIFS('HĐ Khung chuyển đổi TC'!$I:$I,'HĐ Khung chuyển đổi TC'!$L:$L,Table1[[#This Row],[Nhân sự]],'HĐ Khung chuyển đổi TC'!$T:$T,Table1[[#This Row],[Tháng]])</f>
        <v>157133375</v>
      </c>
      <c r="F6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62" s="195">
        <f>+Table1[[#This Row],[Doanh số]]/Table1[[#This Row],[KPI]]</f>
        <v>0.31426674999999998</v>
      </c>
      <c r="I62" s="232"/>
    </row>
    <row r="63" spans="1:9" x14ac:dyDescent="0.2">
      <c r="A63" s="189">
        <v>3</v>
      </c>
      <c r="B63" s="190" t="s">
        <v>236</v>
      </c>
      <c r="C63" s="209" t="str">
        <f>VLOOKUP(Table1[[#This Row],[Nhân sự]],'DROPDOWNDATA-NOFILL'!$A$1:$B$40,2,FALSE)</f>
        <v>BU 2</v>
      </c>
      <c r="D63" s="208"/>
      <c r="E63" s="193">
        <f>SUMIFS('Data Doanh số'!$J:$J,'Data Doanh số'!$P:$P,Table1[[#This Row],[Nhân sự]],'Data Doanh số'!$X:$X,A63)+SUMIFS('HĐ Khung chuyển đổi TC'!$I:$I,'HĐ Khung chuyển đổi TC'!$L:$L,Table1[[#This Row],[Nhân sự]],'HĐ Khung chuyển đổi TC'!$T:$T,Table1[[#This Row],[Tháng]])</f>
        <v>23425926</v>
      </c>
      <c r="F6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63" s="195"/>
      <c r="I63" s="232"/>
    </row>
    <row r="64" spans="1:9" x14ac:dyDescent="0.2">
      <c r="A64" s="222">
        <v>3</v>
      </c>
      <c r="B64" s="223" t="s">
        <v>405</v>
      </c>
      <c r="C64" s="224" t="e">
        <f>VLOOKUP(Table1[[#This Row],[Nhân sự]],'DROPDOWNDATA-NOFILL'!$A$1:$B$40,2,FALSE)</f>
        <v>#N/A</v>
      </c>
      <c r="D64" s="225">
        <f>SUBTOTAL(9,D65:D68)</f>
        <v>2400000000</v>
      </c>
      <c r="E64" s="226">
        <f>SUMIFS('Data Doanh số'!$J:$J,'Data Doanh số'!$Q:$Q,Table1[[#This Row],[Nhân sự]],'Data Doanh số'!$X:$X,Table1[[#This Row],[Tháng]])</f>
        <v>1306165727.7777777</v>
      </c>
      <c r="F64" s="227">
        <f>COUNTIFS('Data Doanh số'!$Q:$Q,Table1[[#This Row],[Nhân sự]],'Data Doanh số'!$X:$X,Table1[[#This Row],[Tháng]])</f>
        <v>2</v>
      </c>
      <c r="G64" s="195">
        <f>+Table1[[#This Row],[Doanh số]]/Table1[[#This Row],[KPI]]</f>
        <v>0.54423571990740738</v>
      </c>
      <c r="I64" s="232"/>
    </row>
    <row r="65" spans="1:9" x14ac:dyDescent="0.2">
      <c r="A65" s="189">
        <v>3</v>
      </c>
      <c r="B65" s="190" t="s">
        <v>210</v>
      </c>
      <c r="C65" s="209" t="str">
        <f>VLOOKUP(Table1[[#This Row],[Nhân sự]],'DROPDOWNDATA-NOFILL'!$A$1:$B$40,2,FALSE)</f>
        <v>BU 3</v>
      </c>
      <c r="D65" s="203">
        <v>1000000000</v>
      </c>
      <c r="E65" s="193">
        <f>SUMIFS('Data Doanh số'!$J:$J,'Data Doanh số'!$P:$P,Table1[[#This Row],[Nhân sự]],'Data Doanh số'!$X:$X,A65)</f>
        <v>1297390727.7777777</v>
      </c>
      <c r="F6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65" s="195">
        <f>+Table1[[#This Row],[Doanh số]]/Table1[[#This Row],[KPI]]</f>
        <v>1.2973907277777776</v>
      </c>
      <c r="I65" s="232"/>
    </row>
    <row r="66" spans="1:9" x14ac:dyDescent="0.2">
      <c r="A66" s="189">
        <v>3</v>
      </c>
      <c r="B66" s="190" t="s">
        <v>170</v>
      </c>
      <c r="C66" s="191" t="str">
        <f>VLOOKUP(Table1[[#This Row],[Nhân sự]],'DROPDOWNDATA-NOFILL'!$A$1:$B$40,2,FALSE)</f>
        <v>BU 3</v>
      </c>
      <c r="D66" s="203">
        <v>600000000</v>
      </c>
      <c r="E66" s="193">
        <f>SUMIFS('Data Doanh số'!$J:$J,'Data Doanh số'!$P:$P,Table1[[#This Row],[Nhân sự]],'Data Doanh số'!$X:$X,A66)+SUMIFS('HĐ Khung chuyển đổi TC'!$I:$I,'HĐ Khung chuyển đổi TC'!$L:$L,Table1[[#This Row],[Nhân sự]],'HĐ Khung chuyển đổi TC'!$T:$T,Table1[[#This Row],[Tháng]])</f>
        <v>552598825</v>
      </c>
      <c r="F6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66" s="195">
        <f>+Table1[[#This Row],[Doanh số]]/Table1[[#This Row],[KPI]]</f>
        <v>0.92099804166666666</v>
      </c>
      <c r="I66" s="232"/>
    </row>
    <row r="67" spans="1:9" x14ac:dyDescent="0.2">
      <c r="A67" s="189">
        <v>3</v>
      </c>
      <c r="B67" s="190" t="s">
        <v>63</v>
      </c>
      <c r="C67" s="191" t="str">
        <f>VLOOKUP(Table1[[#This Row],[Nhân sự]],'DROPDOWNDATA-NOFILL'!$A$1:$B$40,2,FALSE)</f>
        <v>BU 3</v>
      </c>
      <c r="D67" s="203">
        <v>400000000</v>
      </c>
      <c r="E67" s="193">
        <f>SUMIFS('Data Doanh số'!$J:$J,'Data Doanh số'!$P:$P,Table1[[#This Row],[Nhân sự]],'Data Doanh số'!$X:$X,A67)+SUMIFS('HĐ Khung chuyển đổi TC'!$I:$I,'HĐ Khung chuyển đổi TC'!$L:$L,Table1[[#This Row],[Nhân sự]],'HĐ Khung chuyển đổi TC'!$T:$T,Table1[[#This Row],[Tháng]])</f>
        <v>233418491.66666666</v>
      </c>
      <c r="F6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67" s="195">
        <f>+Table1[[#This Row],[Doanh số]]/Table1[[#This Row],[KPI]]</f>
        <v>0.58354622916666665</v>
      </c>
      <c r="I67" s="232"/>
    </row>
    <row r="68" spans="1:9" x14ac:dyDescent="0.2">
      <c r="A68" s="189">
        <v>3</v>
      </c>
      <c r="B68" s="190" t="s">
        <v>59</v>
      </c>
      <c r="C68" s="191" t="str">
        <f>VLOOKUP(Table1[[#This Row],[Nhân sự]],'DROPDOWNDATA-NOFILL'!$A$1:$B$40,2,FALSE)</f>
        <v>BU 3</v>
      </c>
      <c r="D68" s="203">
        <v>400000000</v>
      </c>
      <c r="E68" s="193">
        <f>SUMIFS('Data Doanh số'!$J:$J,'Data Doanh số'!$P:$P,Table1[[#This Row],[Nhân sự]],'Data Doanh số'!$X:$X,A68)+SUMIFS('HĐ Khung chuyển đổi TC'!$I:$I,'HĐ Khung chuyển đổi TC'!$L:$L,Table1[[#This Row],[Nhân sự]],'HĐ Khung chuyển đổi TC'!$T:$T,Table1[[#This Row],[Tháng]])</f>
        <v>0</v>
      </c>
      <c r="F6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68" s="195">
        <f>+Table1[[#This Row],[Doanh số]]/Table1[[#This Row],[KPI]]</f>
        <v>0</v>
      </c>
      <c r="I68" s="232"/>
    </row>
    <row r="69" spans="1:9" x14ac:dyDescent="0.2">
      <c r="A69" s="222">
        <v>3</v>
      </c>
      <c r="B69" s="223" t="s">
        <v>117</v>
      </c>
      <c r="C69" s="224" t="e">
        <f>VLOOKUP(Table1[[#This Row],[Nhân sự]],'DROPDOWNDATA-NOFILL'!$A$1:$B$40,2,FALSE)</f>
        <v>#N/A</v>
      </c>
      <c r="D69" s="225">
        <f>D70</f>
        <v>50000000</v>
      </c>
      <c r="E69" s="226">
        <f>E70</f>
        <v>0</v>
      </c>
      <c r="F69" s="229">
        <f>F70</f>
        <v>323</v>
      </c>
      <c r="G69" s="195">
        <f>+Table1[[#This Row],[Doanh số]]/Table1[[#This Row],[KPI]]</f>
        <v>0</v>
      </c>
      <c r="I69" s="232"/>
    </row>
    <row r="70" spans="1:9" x14ac:dyDescent="0.2">
      <c r="A70" s="189">
        <v>3</v>
      </c>
      <c r="B70" s="190" t="s">
        <v>467</v>
      </c>
      <c r="C70" s="191" t="e">
        <f>VLOOKUP(Table1[[#This Row],[Nhân sự]],'DROPDOWNDATA-NOFILL'!$A$1:$B$40,2,FALSE)</f>
        <v>#N/A</v>
      </c>
      <c r="D70" s="203">
        <v>50000000</v>
      </c>
      <c r="E70" s="193">
        <f>SUMIFS('Data Doanh số'!$J:$J,'Data Doanh số'!$P:$P,Table1[[#This Row],[Nhân sự]],'Data Doanh số'!$X:$X,A70)+SUMIFS('HĐ Khung chuyển đổi TC'!$I:$I,'HĐ Khung chuyển đổi TC'!$L:$L,Table1[[#This Row],[Nhân sự]],'HĐ Khung chuyển đổi TC'!$T:$T,Table1[[#This Row],[Tháng]])</f>
        <v>0</v>
      </c>
      <c r="F70" s="204">
        <v>323</v>
      </c>
      <c r="G70" s="195">
        <f>+Table1[[#This Row],[Doanh số]]/Table1[[#This Row],[KPI]]</f>
        <v>0</v>
      </c>
      <c r="I70" s="232"/>
    </row>
    <row r="71" spans="1:9" x14ac:dyDescent="0.2">
      <c r="A71" s="214" t="s">
        <v>473</v>
      </c>
      <c r="B71" s="215"/>
      <c r="C71" s="216"/>
      <c r="D71" s="217"/>
      <c r="E71" s="218"/>
      <c r="F71" s="219"/>
      <c r="G71" s="220"/>
    </row>
    <row r="72" spans="1:9" x14ac:dyDescent="0.2">
      <c r="A72" s="222">
        <v>4</v>
      </c>
      <c r="B72" s="223" t="s">
        <v>442</v>
      </c>
      <c r="C72" s="230"/>
      <c r="D72" s="225">
        <f>SUBTOTAL(9,D73:D75)</f>
        <v>4000000000</v>
      </c>
      <c r="E72" s="226">
        <f>SUMIFS('Data Doanh số'!$J:$J,'Data Doanh số'!$Q:$Q,Table1[[#This Row],[Nhân sự]],'Data Doanh số'!$X:$X,Table1[[#This Row],[Tháng]])</f>
        <v>5413291502</v>
      </c>
      <c r="F72" s="227">
        <f>COUNTIFS('Data Doanh số'!$Q:$Q,Table1[[#This Row],[Nhân sự]],'Data Doanh số'!$X:$X,Table1[[#This Row],[Tháng]])</f>
        <v>5</v>
      </c>
      <c r="G72" s="228">
        <f>+Table1[[#This Row],[Doanh số]]/Table1[[#This Row],[KPI]]</f>
        <v>1.3533228755</v>
      </c>
    </row>
    <row r="73" spans="1:9" x14ac:dyDescent="0.2">
      <c r="A73" s="221">
        <v>4</v>
      </c>
      <c r="B73" s="190" t="s">
        <v>80</v>
      </c>
      <c r="C73" s="191" t="str">
        <f>VLOOKUP(Table1[[#This Row],[Nhân sự]],'DROPDOWNDATA-NOFILL'!$A$1:$B$40,2,FALSE)</f>
        <v>BU HCM</v>
      </c>
      <c r="D73" s="203">
        <v>3000000000</v>
      </c>
      <c r="E73" s="193">
        <f>SUMIFS('Data Doanh số'!$J:$J,'Data Doanh số'!$P:$P,Table1[[#This Row],[Nhân sự]],'Data Doanh số'!$X:$X,A73)+SUMIFS('HĐ Khung chuyển đổi TC'!$I:$I,'HĐ Khung chuyển đổi TC'!$L:$L,Table1[[#This Row],[Nhân sự]],'HĐ Khung chuyển đổi TC'!$T:$T,Table1[[#This Row],[Tháng]])</f>
        <v>5047581502</v>
      </c>
      <c r="F7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73" s="195">
        <f>+Table1[[#This Row],[Doanh số]]/Table1[[#This Row],[KPI]]</f>
        <v>1.6825271673333333</v>
      </c>
    </row>
    <row r="74" spans="1:9" x14ac:dyDescent="0.2">
      <c r="A74" s="189">
        <v>4</v>
      </c>
      <c r="B74" s="190" t="s">
        <v>226</v>
      </c>
      <c r="C74" s="209" t="str">
        <f>VLOOKUP(Table1[[#This Row],[Nhân sự]],'DROPDOWNDATA-NOFILL'!$A$1:$B$40,2,FALSE)</f>
        <v>BU HCM</v>
      </c>
      <c r="D74" s="203">
        <v>500000000</v>
      </c>
      <c r="E74" s="193">
        <f>SUMIFS('Data Doanh số'!$J:$J,'Data Doanh số'!$P:$P,Table1[[#This Row],[Nhân sự]],'Data Doanh số'!$X:$X,A74)</f>
        <v>91670000</v>
      </c>
      <c r="F7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74" s="195">
        <f>+Table1[[#This Row],[Doanh số]]/Table1[[#This Row],[KPI]]</f>
        <v>0.18334</v>
      </c>
    </row>
    <row r="75" spans="1:9" x14ac:dyDescent="0.2">
      <c r="A75" s="189">
        <v>4</v>
      </c>
      <c r="B75" s="190" t="s">
        <v>229</v>
      </c>
      <c r="C75" s="209" t="str">
        <f>VLOOKUP(Table1[[#This Row],[Nhân sự]],'DROPDOWNDATA-NOFILL'!$A$1:$B$40,2,FALSE)</f>
        <v>BU HCM</v>
      </c>
      <c r="D75" s="203">
        <v>500000000</v>
      </c>
      <c r="E75" s="193">
        <f>SUMIFS('Data Doanh số'!$J:$J,'Data Doanh số'!$P:$P,Table1[[#This Row],[Nhân sự]],'Data Doanh số'!$X:$X,A75)</f>
        <v>274040000</v>
      </c>
      <c r="F7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75" s="195">
        <f>+Table1[[#This Row],[Doanh số]]/Table1[[#This Row],[KPI]]</f>
        <v>0.54808000000000001</v>
      </c>
    </row>
    <row r="76" spans="1:9" x14ac:dyDescent="0.2">
      <c r="A76" s="222">
        <v>4</v>
      </c>
      <c r="B76" s="223" t="s">
        <v>402</v>
      </c>
      <c r="C76" s="224"/>
      <c r="D76" s="225">
        <f>SUBTOTAL(9,D77:D82)</f>
        <v>4800000000</v>
      </c>
      <c r="E76" s="226">
        <f>SUMIFS('Data Doanh số'!$J:$J,'Data Doanh số'!$Q:$Q,Table1[[#This Row],[Nhân sự]],'Data Doanh số'!$X:$X,Table1[[#This Row],[Tháng]])</f>
        <v>917158963.07037044</v>
      </c>
      <c r="F76" s="227">
        <f>COUNTIFS('Data Doanh số'!$Q:$Q,Table1[[#This Row],[Nhân sự]],'Data Doanh số'!$X:$X,Table1[[#This Row],[Tháng]])</f>
        <v>8</v>
      </c>
      <c r="G76" s="228">
        <f>+Table1[[#This Row],[Doanh số]]/Table1[[#This Row],[KPI]]</f>
        <v>0.19107478397299385</v>
      </c>
    </row>
    <row r="77" spans="1:9" x14ac:dyDescent="0.2">
      <c r="A77" s="189">
        <v>4</v>
      </c>
      <c r="B77" s="190" t="s">
        <v>71</v>
      </c>
      <c r="C77" s="191" t="str">
        <f>VLOOKUP(Table1[[#This Row],[Nhân sự]],'DROPDOWNDATA-NOFILL'!$A$1:$B$40,2,FALSE)</f>
        <v>BU 1</v>
      </c>
      <c r="D77" s="203">
        <v>800000000</v>
      </c>
      <c r="E77" s="193">
        <f>SUMIFS('Data Doanh số'!$J:$J,'Data Doanh số'!$P:$P,Table1[[#This Row],[Nhân sự]],'Data Doanh số'!$X:$X,A77)+SUMIFS('HĐ Khung chuyển đổi TC'!$I:$I,'HĐ Khung chuyển đổi TC'!$L:$L,Table1[[#This Row],[Nhân sự]],'HĐ Khung chuyển đổi TC'!$T:$T,Table1[[#This Row],[Tháng]])</f>
        <v>66510816</v>
      </c>
      <c r="F7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77" s="195">
        <f>+Table1[[#This Row],[Doanh số]]/Table1[[#This Row],[KPI]]</f>
        <v>8.3138519999999994E-2</v>
      </c>
    </row>
    <row r="78" spans="1:9" x14ac:dyDescent="0.2">
      <c r="A78" s="189">
        <v>4</v>
      </c>
      <c r="B78" s="190" t="s">
        <v>87</v>
      </c>
      <c r="C78" s="191" t="str">
        <f>VLOOKUP(Table1[[#This Row],[Nhân sự]],'DROPDOWNDATA-NOFILL'!$A$1:$B$40,2,FALSE)</f>
        <v>BU 1</v>
      </c>
      <c r="D78" s="203">
        <v>800000000</v>
      </c>
      <c r="E78" s="193">
        <f>SUMIFS('Data Doanh số'!$J:$J,'Data Doanh số'!$P:$P,Table1[[#This Row],[Nhân sự]],'Data Doanh số'!$X:$X,A78)+SUMIFS('HĐ Khung chuyển đổi TC'!$I:$I,'HĐ Khung chuyển đổi TC'!$L:$L,Table1[[#This Row],[Nhân sự]],'HĐ Khung chuyển đổi TC'!$T:$T,Table1[[#This Row],[Tháng]])</f>
        <v>0</v>
      </c>
      <c r="F7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78" s="195">
        <f>+Table1[[#This Row],[Doanh số]]/Table1[[#This Row],[KPI]]</f>
        <v>0</v>
      </c>
    </row>
    <row r="79" spans="1:9" x14ac:dyDescent="0.2">
      <c r="A79" s="189">
        <v>4</v>
      </c>
      <c r="B79" s="190" t="s">
        <v>42</v>
      </c>
      <c r="C79" s="191" t="str">
        <f>VLOOKUP(Table1[[#This Row],[Nhân sự]],'DROPDOWNDATA-NOFILL'!$A$1:$B$40,2,FALSE)</f>
        <v>BU 1</v>
      </c>
      <c r="D79" s="203">
        <v>800000000</v>
      </c>
      <c r="E79" s="193">
        <f>SUMIFS('Data Doanh số'!$J:$J,'Data Doanh số'!$P:$P,Table1[[#This Row],[Nhân sự]],'Data Doanh số'!$X:$X,A79)+SUMIFS('HĐ Khung chuyển đổi TC'!$I:$I,'HĐ Khung chuyển đổi TC'!$L:$L,Table1[[#This Row],[Nhân sự]],'HĐ Khung chuyển đổi TC'!$T:$T,Table1[[#This Row],[Tháng]])</f>
        <v>454462962.69999999</v>
      </c>
      <c r="F7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79" s="195">
        <f>+Table1[[#This Row],[Doanh số]]/Table1[[#This Row],[KPI]]</f>
        <v>0.56807870337499999</v>
      </c>
      <c r="H79" s="201"/>
    </row>
    <row r="80" spans="1:9" x14ac:dyDescent="0.2">
      <c r="A80" s="189">
        <v>4</v>
      </c>
      <c r="B80" s="190" t="s">
        <v>105</v>
      </c>
      <c r="C80" s="191" t="str">
        <f>VLOOKUP(Table1[[#This Row],[Nhân sự]],'DROPDOWNDATA-NOFILL'!$A$1:$B$40,2,FALSE)</f>
        <v>BU 1</v>
      </c>
      <c r="D80" s="203">
        <v>800000000</v>
      </c>
      <c r="E80" s="193">
        <f>SUMIFS('Data Doanh số'!$J:$J,'Data Doanh số'!$P:$P,Table1[[#This Row],[Nhân sự]],'Data Doanh số'!$X:$X,A80)+SUMIFS('HĐ Khung chuyển đổi TC'!$I:$I,'HĐ Khung chuyển đổi TC'!$L:$L,Table1[[#This Row],[Nhân sự]],'HĐ Khung chuyển đổi TC'!$T:$T,Table1[[#This Row],[Tháng]])</f>
        <v>0</v>
      </c>
      <c r="F8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80" s="195">
        <f>+Table1[[#This Row],[Doanh số]]/Table1[[#This Row],[KPI]]</f>
        <v>0</v>
      </c>
      <c r="H80" s="201"/>
    </row>
    <row r="81" spans="1:8" x14ac:dyDescent="0.2">
      <c r="A81" s="189">
        <v>4</v>
      </c>
      <c r="B81" s="190" t="s">
        <v>83</v>
      </c>
      <c r="C81" s="191" t="str">
        <f>VLOOKUP(Table1[[#This Row],[Nhân sự]],'DROPDOWNDATA-NOFILL'!$A$1:$B$40,2,FALSE)</f>
        <v>BU 1</v>
      </c>
      <c r="D81" s="203">
        <v>800000000</v>
      </c>
      <c r="E81" s="193">
        <f>SUMIFS('Data Doanh số'!$J:$J,'Data Doanh số'!$P:$P,Table1[[#This Row],[Nhân sự]],'Data Doanh số'!$X:$X,A81)+SUMIFS('HĐ Khung chuyển đổi TC'!$I:$I,'HĐ Khung chuyển đổi TC'!$L:$L,Table1[[#This Row],[Nhân sự]],'HĐ Khung chuyển đổi TC'!$T:$T,Table1[[#This Row],[Tháng]])</f>
        <v>18703703</v>
      </c>
      <c r="F8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81" s="195">
        <f>+Table1[[#This Row],[Doanh số]]/Table1[[#This Row],[KPI]]</f>
        <v>2.3379628749999999E-2</v>
      </c>
    </row>
    <row r="82" spans="1:8" x14ac:dyDescent="0.2">
      <c r="A82" s="189">
        <v>4</v>
      </c>
      <c r="B82" s="190" t="s">
        <v>140</v>
      </c>
      <c r="C82" s="191" t="str">
        <f>VLOOKUP(Table1[[#This Row],[Nhân sự]],'DROPDOWNDATA-NOFILL'!$A$1:$B$40,2,FALSE)</f>
        <v>BU 1</v>
      </c>
      <c r="D82" s="203">
        <v>800000000</v>
      </c>
      <c r="E82" s="193">
        <f>SUMIFS('Data Doanh số'!$J:$J,'Data Doanh số'!$P:$P,Table1[[#This Row],[Nhân sự]],'Data Doanh số'!$X:$X,A82)+SUMIFS('HĐ Khung chuyển đổi TC'!$I:$I,'HĐ Khung chuyển đổi TC'!$L:$L,Table1[[#This Row],[Nhân sự]],'HĐ Khung chuyển đổi TC'!$T:$T,Table1[[#This Row],[Tháng]])</f>
        <v>377481481.37037033</v>
      </c>
      <c r="F8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82" s="195">
        <f>+Table1[[#This Row],[Doanh số]]/Table1[[#This Row],[KPI]]</f>
        <v>0.4718518517129629</v>
      </c>
    </row>
    <row r="83" spans="1:8" x14ac:dyDescent="0.2">
      <c r="A83" s="189">
        <v>4</v>
      </c>
      <c r="B83" s="190" t="s">
        <v>508</v>
      </c>
      <c r="C83" s="209" t="str">
        <f>VLOOKUP(Table1[[#This Row],[Nhân sự]],'DROPDOWNDATA-NOFILL'!$A$1:$B$40,2,FALSE)</f>
        <v>BU 1</v>
      </c>
      <c r="D83" s="208"/>
      <c r="E83" s="193">
        <f>SUMIFS('Data Doanh số'!$J:$J,'Data Doanh số'!$P:$P,Table1[[#This Row],[Nhân sự]],'Data Doanh số'!$X:$X,A83)</f>
        <v>0</v>
      </c>
      <c r="F83" s="213">
        <f>COUNTIFS('Data Doanh số'!$P:$P,Table1[[#This Row],[Nhân sự]],'Data Doanh số'!$X:$X,Table1[[#This Row],[Tháng]])</f>
        <v>0</v>
      </c>
      <c r="G83" s="195"/>
    </row>
    <row r="84" spans="1:8" x14ac:dyDescent="0.2">
      <c r="A84" s="189">
        <v>4</v>
      </c>
      <c r="B84" s="223" t="s">
        <v>403</v>
      </c>
      <c r="C84" s="224" t="e">
        <f>VLOOKUP(Table1[[#This Row],[Nhân sự]],'DROPDOWNDATA-NOFILL'!$A$1:$B$40,2,FALSE)</f>
        <v>#N/A</v>
      </c>
      <c r="D84" s="225">
        <f>SUBTOTAL(9,D85:D87)</f>
        <v>2200000000</v>
      </c>
      <c r="E84" s="226">
        <f>SUMIFS('Data Doanh số'!$J:$J,'Data Doanh số'!$Q:$Q,Table1[[#This Row],[Nhân sự]],'Data Doanh số'!$X:$X,Table1[[#This Row],[Tháng]])</f>
        <v>0</v>
      </c>
      <c r="F84" s="227">
        <f>COUNTIFS('Data Doanh số'!$Q:$Q,Table1[[#This Row],[Nhân sự]],'Data Doanh số'!$X:$X,Table1[[#This Row],[Tháng]])</f>
        <v>0</v>
      </c>
      <c r="G84" s="228">
        <f>+Table1[[#This Row],[Doanh số]]/Table1[[#This Row],[KPI]]</f>
        <v>0</v>
      </c>
      <c r="H84" s="201"/>
    </row>
    <row r="85" spans="1:8" x14ac:dyDescent="0.2">
      <c r="A85" s="189">
        <v>4</v>
      </c>
      <c r="B85" s="190" t="s">
        <v>445</v>
      </c>
      <c r="C85" s="191" t="str">
        <f>VLOOKUP(Table1[[#This Row],[Nhân sự]],'DROPDOWNDATA-NOFILL'!$A$1:$B$40,2,FALSE)</f>
        <v>BU 2</v>
      </c>
      <c r="D85" s="203">
        <v>800000000</v>
      </c>
      <c r="E85" s="193">
        <f>SUMIFS('Data Doanh số'!$J:$J,'Data Doanh số'!$P:$P,Table1[[#This Row],[Nhân sự]],'Data Doanh số'!$X:$X,A85)+SUMIFS('HĐ Khung chuyển đổi TC'!$I:$I,'HĐ Khung chuyển đổi TC'!$L:$L,Table1[[#This Row],[Nhân sự]],'HĐ Khung chuyển đổi TC'!$T:$T,Table1[[#This Row],[Tháng]])</f>
        <v>0</v>
      </c>
      <c r="F8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85" s="195">
        <f>+Table1[[#This Row],[Doanh số]]/Table1[[#This Row],[KPI]]</f>
        <v>0</v>
      </c>
    </row>
    <row r="86" spans="1:8" x14ac:dyDescent="0.2">
      <c r="A86" s="189">
        <v>4</v>
      </c>
      <c r="B86" s="190" t="s">
        <v>153</v>
      </c>
      <c r="C86" s="191" t="str">
        <f>VLOOKUP(Table1[[#This Row],[Nhân sự]],'DROPDOWNDATA-NOFILL'!$A$1:$B$40,2,FALSE)</f>
        <v>BU 2</v>
      </c>
      <c r="D86" s="203">
        <v>800000000</v>
      </c>
      <c r="E86" s="193">
        <f>SUMIFS('Data Doanh số'!$J:$J,'Data Doanh số'!$P:$P,Table1[[#This Row],[Nhân sự]],'Data Doanh số'!$X:$X,A86)+SUMIFS('HĐ Khung chuyển đổi TC'!$I:$I,'HĐ Khung chuyển đổi TC'!$L:$L,Table1[[#This Row],[Nhân sự]],'HĐ Khung chuyển đổi TC'!$T:$T,Table1[[#This Row],[Tháng]])</f>
        <v>62801758.333333328</v>
      </c>
      <c r="F8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86" s="195">
        <f>+Table1[[#This Row],[Doanh số]]/Table1[[#This Row],[KPI]]</f>
        <v>7.8502197916666655E-2</v>
      </c>
    </row>
    <row r="87" spans="1:8" x14ac:dyDescent="0.2">
      <c r="A87" s="189">
        <v>4</v>
      </c>
      <c r="B87" s="190" t="s">
        <v>236</v>
      </c>
      <c r="C87" s="209" t="str">
        <f>VLOOKUP(Table1[[#This Row],[Nhân sự]],'DROPDOWNDATA-NOFILL'!$A$1:$B$40,2,FALSE)</f>
        <v>BU 2</v>
      </c>
      <c r="D87" s="203">
        <v>600000000</v>
      </c>
      <c r="E87" s="193">
        <f>SUMIFS('Data Doanh số'!$J:$J,'Data Doanh số'!$P:$P,Table1[[#This Row],[Nhân sự]],'Data Doanh số'!$X:$X,A87)+SUMIFS('HĐ Khung chuyển đổi TC'!$I:$I,'HĐ Khung chuyển đổi TC'!$L:$L,Table1[[#This Row],[Nhân sự]],'HĐ Khung chuyển đổi TC'!$T:$T,Table1[[#This Row],[Tháng]])</f>
        <v>0</v>
      </c>
      <c r="F8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87" s="195"/>
    </row>
    <row r="88" spans="1:8" x14ac:dyDescent="0.2">
      <c r="A88" s="189">
        <v>4</v>
      </c>
      <c r="B88" s="223" t="s">
        <v>405</v>
      </c>
      <c r="C88" s="224" t="e">
        <f>VLOOKUP(Table1[[#This Row],[Nhân sự]],'DROPDOWNDATA-NOFILL'!$A$1:$B$40,2,FALSE)</f>
        <v>#N/A</v>
      </c>
      <c r="D88" s="225">
        <f>SUBTOTAL(9,D89:D94)</f>
        <v>4000000000</v>
      </c>
      <c r="E88" s="226">
        <f>SUMIFS('Data Doanh số'!$J:$J,'Data Doanh số'!$Q:$Q,Table1[[#This Row],[Nhân sự]],'Data Doanh số'!$X:$X,Table1[[#This Row],[Tháng]])</f>
        <v>1469641117.4638267</v>
      </c>
      <c r="F88" s="227">
        <f>COUNTIFS('Data Doanh số'!$Q:$Q,Table1[[#This Row],[Nhân sự]],'Data Doanh số'!$X:$X,Table1[[#This Row],[Tháng]])</f>
        <v>10</v>
      </c>
      <c r="G88" s="228">
        <f>+Table1[[#This Row],[Doanh số]]/Table1[[#This Row],[KPI]]</f>
        <v>0.36741027936595666</v>
      </c>
    </row>
    <row r="89" spans="1:8" x14ac:dyDescent="0.2">
      <c r="A89" s="189">
        <v>4</v>
      </c>
      <c r="B89" s="190" t="s">
        <v>210</v>
      </c>
      <c r="C89" s="209" t="str">
        <f>VLOOKUP(Table1[[#This Row],[Nhân sự]],'DROPDOWNDATA-NOFILL'!$A$1:$B$40,2,FALSE)</f>
        <v>BU 3</v>
      </c>
      <c r="D89" s="203">
        <v>1800000000</v>
      </c>
      <c r="E89" s="193">
        <f>SUMIFS('Data Doanh số'!$J:$J,'Data Doanh số'!$P:$P,Table1[[#This Row],[Nhân sự]],'Data Doanh số'!$X:$X,A89)</f>
        <v>1332256035.4938269</v>
      </c>
      <c r="F8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89" s="195">
        <f>+Table1[[#This Row],[Doanh số]]/Table1[[#This Row],[KPI]]</f>
        <v>0.74014224194101497</v>
      </c>
    </row>
    <row r="90" spans="1:8" x14ac:dyDescent="0.2">
      <c r="A90" s="189">
        <v>4</v>
      </c>
      <c r="B90" s="190" t="s">
        <v>170</v>
      </c>
      <c r="C90" s="191" t="str">
        <f>VLOOKUP(Table1[[#This Row],[Nhân sự]],'DROPDOWNDATA-NOFILL'!$A$1:$B$40,2,FALSE)</f>
        <v>BU 3</v>
      </c>
      <c r="D90" s="203"/>
      <c r="E90" s="193">
        <f>SUMIFS('Data Doanh số'!$J:$J,'Data Doanh số'!$P:$P,Table1[[#This Row],[Nhân sự]],'Data Doanh số'!$X:$X,A90)+SUMIFS('HĐ Khung chuyển đổi TC'!$I:$I,'HĐ Khung chuyển đổi TC'!$L:$L,Table1[[#This Row],[Nhân sự]],'HĐ Khung chuyển đổi TC'!$T:$T,Table1[[#This Row],[Tháng]])</f>
        <v>24148148</v>
      </c>
      <c r="F9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90" s="195"/>
    </row>
    <row r="91" spans="1:8" x14ac:dyDescent="0.2">
      <c r="A91" s="189">
        <v>4</v>
      </c>
      <c r="B91" s="190" t="s">
        <v>59</v>
      </c>
      <c r="C91" s="209" t="str">
        <f>VLOOKUP(Table1[[#This Row],[Nhân sự]],'DROPDOWNDATA-NOFILL'!$A$1:$B$40,2,FALSE)</f>
        <v>BU 3</v>
      </c>
      <c r="D91" s="203">
        <v>400000000</v>
      </c>
      <c r="E91" s="193">
        <f>SUMIFS('Data Doanh số'!$J:$J,'Data Doanh số'!$P:$P,Table1[[#This Row],[Nhân sự]],'Data Doanh số'!$X:$X,A91)</f>
        <v>14807407</v>
      </c>
      <c r="F91" s="213">
        <f>COUNTIFS('Data Doanh số'!$P:$P,Table1[[#This Row],[Nhân sự]],'Data Doanh số'!$X:$X,Table1[[#This Row],[Tháng]])</f>
        <v>2</v>
      </c>
      <c r="G91" s="195">
        <f>+Table1[[#This Row],[Doanh số]]/Table1[[#This Row],[KPI]]</f>
        <v>3.7018517500000001E-2</v>
      </c>
    </row>
    <row r="92" spans="1:8" x14ac:dyDescent="0.2">
      <c r="A92" s="189">
        <v>4</v>
      </c>
      <c r="B92" s="190" t="s">
        <v>63</v>
      </c>
      <c r="C92" s="191" t="str">
        <f>VLOOKUP(Table1[[#This Row],[Nhân sự]],'DROPDOWNDATA-NOFILL'!$A$1:$B$40,2,FALSE)</f>
        <v>BU 3</v>
      </c>
      <c r="D92" s="203">
        <v>1000000000</v>
      </c>
      <c r="E92" s="193">
        <f>SUMIFS('Data Doanh số'!$J:$J,'Data Doanh số'!$P:$P,Table1[[#This Row],[Nhân sự]],'Data Doanh số'!$X:$X,A92)+SUMIFS('HĐ Khung chuyển đổi TC'!$I:$I,'HĐ Khung chuyển đổi TC'!$L:$L,Table1[[#This Row],[Nhân sự]],'HĐ Khung chuyển đổi TC'!$T:$T,Table1[[#This Row],[Tháng]])</f>
        <v>0</v>
      </c>
      <c r="F9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92" s="195">
        <f>+Table1[[#This Row],[Doanh số]]/Table1[[#This Row],[KPI]]</f>
        <v>0</v>
      </c>
    </row>
    <row r="93" spans="1:8" x14ac:dyDescent="0.2">
      <c r="A93" s="189">
        <v>4</v>
      </c>
      <c r="B93" s="190" t="s">
        <v>257</v>
      </c>
      <c r="C93" s="191" t="str">
        <f>VLOOKUP(Table1[[#This Row],[Nhân sự]],'DROPDOWNDATA-NOFILL'!$A$1:$B$40,2,FALSE)</f>
        <v>BU 3</v>
      </c>
      <c r="D93" s="203">
        <v>400000000</v>
      </c>
      <c r="E93" s="193">
        <f>SUMIFS('Data Doanh số'!$J:$J,'Data Doanh số'!$P:$P,Table1[[#This Row],[Nhân sự]],'Data Doanh số'!$X:$X,A93)+SUMIFS('HĐ Khung chuyển đổi TC'!$I:$I,'HĐ Khung chuyển đổi TC'!$L:$L,Table1[[#This Row],[Nhân sự]],'HĐ Khung chuyển đổi TC'!$T:$T,Table1[[#This Row],[Tháng]])</f>
        <v>6481481.5999999996</v>
      </c>
      <c r="F9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93" s="195">
        <f>+Table1[[#This Row],[Doanh số]]/Table1[[#This Row],[KPI]]</f>
        <v>1.6203703999999999E-2</v>
      </c>
    </row>
    <row r="94" spans="1:8" x14ac:dyDescent="0.2">
      <c r="A94" s="189">
        <v>4</v>
      </c>
      <c r="B94" s="190" t="s">
        <v>130</v>
      </c>
      <c r="C94" s="209" t="str">
        <f>VLOOKUP(Table1[[#This Row],[Nhân sự]],'DROPDOWNDATA-NOFILL'!$A$1:$B$40,2,FALSE)</f>
        <v>BU 3</v>
      </c>
      <c r="D94" s="203">
        <v>400000000</v>
      </c>
      <c r="E94" s="193">
        <f>SUMIFS('Data Doanh số'!$J:$J,'Data Doanh số'!$P:$P,Table1[[#This Row],[Nhân sự]],'Data Doanh số'!$X:$X,A94)</f>
        <v>91948045.370000005</v>
      </c>
      <c r="F94" s="213">
        <f>COUNTIFS('Data Doanh số'!$P:$P,Table1[[#This Row],[Nhân sự]],'Data Doanh số'!$X:$X,Table1[[#This Row],[Tháng]])</f>
        <v>3</v>
      </c>
      <c r="G94" s="195">
        <f>+Table1[[#This Row],[Doanh số]]/Table1[[#This Row],[KPI]]</f>
        <v>0.22987011342500002</v>
      </c>
    </row>
    <row r="95" spans="1:8" x14ac:dyDescent="0.2">
      <c r="A95" s="189">
        <v>4</v>
      </c>
      <c r="B95" s="223" t="s">
        <v>117</v>
      </c>
      <c r="C95" s="224" t="e">
        <f>VLOOKUP(Table1[[#This Row],[Nhân sự]],'DROPDOWNDATA-NOFILL'!$A$1:$B$40,2,FALSE)</f>
        <v>#N/A</v>
      </c>
      <c r="D95" s="225">
        <f>SUBTOTAL(9,D96)</f>
        <v>50000000</v>
      </c>
      <c r="E95" s="226">
        <f>E96</f>
        <v>0</v>
      </c>
      <c r="F95" s="229">
        <f>F96</f>
        <v>120</v>
      </c>
      <c r="G95" s="228">
        <f>+Table1[[#This Row],[Doanh số]]/Table1[[#This Row],[KPI]]</f>
        <v>0</v>
      </c>
    </row>
    <row r="96" spans="1:8" x14ac:dyDescent="0.2">
      <c r="A96" s="189">
        <v>4</v>
      </c>
      <c r="B96" s="190" t="s">
        <v>467</v>
      </c>
      <c r="C96" s="191" t="e">
        <f>VLOOKUP(Table1[[#This Row],[Nhân sự]],'DROPDOWNDATA-NOFILL'!$A$1:$B$40,2,FALSE)</f>
        <v>#N/A</v>
      </c>
      <c r="D96" s="203">
        <v>50000000</v>
      </c>
      <c r="E96" s="193">
        <f>SUMIFS('Data Doanh số'!$J:$J,'Data Doanh số'!$P:$P,Table1[[#This Row],[Nhân sự]],'Data Doanh số'!$X:$X,A96)+SUMIFS('HĐ Khung chuyển đổi TC'!$I:$I,'HĐ Khung chuyển đổi TC'!$L:$L,Table1[[#This Row],[Nhân sự]],'HĐ Khung chuyển đổi TC'!$T:$T,Table1[[#This Row],[Tháng]])</f>
        <v>0</v>
      </c>
      <c r="F96" s="204">
        <v>120</v>
      </c>
      <c r="G96" s="195">
        <f>+Table1[[#This Row],[Doanh số]]/Table1[[#This Row],[KPI]]</f>
        <v>0</v>
      </c>
    </row>
    <row r="97" spans="1:8" x14ac:dyDescent="0.2">
      <c r="A97" s="292" t="s">
        <v>474</v>
      </c>
      <c r="B97" s="293"/>
      <c r="C97" s="216" t="e">
        <f>VLOOKUP(Table1[[#This Row],[Nhân sự]],'DROPDOWNDATA-NOFILL'!$A$1:$B$40,2,FALSE)</f>
        <v>#N/A</v>
      </c>
      <c r="D97" s="294"/>
      <c r="E97" s="295">
        <f>SUMIFS('Data Doanh số'!$J:$J,'Data Doanh số'!$P:$P,Table1[[#This Row],[Nhân sự]],'Data Doanh số'!$X:$X,A97)</f>
        <v>0</v>
      </c>
      <c r="F97" s="296">
        <f>COUNTIFS('Data Doanh số'!$P:$P,Table1[[#This Row],[Nhân sự]],'Data Doanh số'!$X:$X,Table1[[#This Row],[Tháng]])</f>
        <v>0</v>
      </c>
      <c r="G97" s="297"/>
    </row>
    <row r="98" spans="1:8" x14ac:dyDescent="0.2">
      <c r="A98" s="222">
        <v>5</v>
      </c>
      <c r="B98" s="223" t="s">
        <v>442</v>
      </c>
      <c r="C98" s="230"/>
      <c r="D98" s="225">
        <f>SUBTOTAL(9,D99:D101)</f>
        <v>4000000000</v>
      </c>
      <c r="E98" s="291">
        <f>SUMIFS('Data Doanh số'!$J:$J,'Data Doanh số'!$Q:$Q,$B98,'Data Doanh số'!$X:$X,$A98)</f>
        <v>1035735350.5</v>
      </c>
      <c r="F98" s="227">
        <f>COUNTIFS('Data Doanh số'!$Q:$Q,$B98,'Data Doanh số'!$X:$X,$A98)</f>
        <v>3</v>
      </c>
      <c r="G98" s="228">
        <f t="shared" ref="G98:G103" si="0">+E98/D98</f>
        <v>0.258933837625</v>
      </c>
    </row>
    <row r="99" spans="1:8" x14ac:dyDescent="0.2">
      <c r="A99" s="221">
        <v>5</v>
      </c>
      <c r="B99" s="190" t="s">
        <v>80</v>
      </c>
      <c r="C99" s="191" t="e">
        <f>VLOOKUP(Table1[[#This Row],[Nhân sự]],'DROPDOWNDATA-NOFILL'!$A$1:$B$40,2,FALSE)</f>
        <v>#VALUE!</v>
      </c>
      <c r="D99" s="203">
        <f>VLOOKUP(B99,'KPI theo nhân sự'!$C:$R,9,FALSE)</f>
        <v>3000000000</v>
      </c>
      <c r="E99" s="290">
        <f>SUMIFS('Data Doanh số'!$J:$J,'Data Doanh số'!$P:$P,$B99,'Data Doanh số'!$X:$X,$A99)+SUMIFS('HĐ Khung chuyển đổi TC'!$I:$I,'HĐ Khung chuyển đổi TC'!$L:$L,$B99,'HĐ Khung chuyển đổi TC'!$T:$T,$A99)</f>
        <v>0</v>
      </c>
      <c r="F99" s="194">
        <f>COUNTIFS('Data Doanh số'!$P:$P,$B99,'Data Doanh số'!$X:$X,$A99)+COUNTIFS('HĐ Khung chuyển đổi TC'!$L:$L,$B99,'HĐ Khung chuyển đổi TC'!$T:$T,$A99)</f>
        <v>0</v>
      </c>
      <c r="G99" s="195">
        <f t="shared" si="0"/>
        <v>0</v>
      </c>
    </row>
    <row r="100" spans="1:8" x14ac:dyDescent="0.2">
      <c r="A100" s="221">
        <v>5</v>
      </c>
      <c r="B100" s="190" t="s">
        <v>226</v>
      </c>
      <c r="C100" s="209" t="e">
        <f>VLOOKUP(Table1[[#This Row],[Nhân sự]],'DROPDOWNDATA-NOFILL'!$A$1:$B$40,2,FALSE)</f>
        <v>#VALUE!</v>
      </c>
      <c r="D100" s="203">
        <f>VLOOKUP(B100,'KPI theo nhân sự'!$C:$R,9,FALSE)</f>
        <v>500000000</v>
      </c>
      <c r="E100" s="290">
        <f>SUMIFS('Data Doanh số'!$J:$J,'Data Doanh số'!$P:$P,$B100,'Data Doanh số'!$X:$X,$A100)+SUMIFS('HĐ Khung chuyển đổi TC'!$I:$I,'HĐ Khung chuyển đổi TC'!$L:$L,$B100,'HĐ Khung chuyển đổi TC'!$T:$T,$A100)</f>
        <v>356000000</v>
      </c>
      <c r="F100" s="194">
        <f>COUNTIFS('Data Doanh số'!$P:$P,$B100,'Data Doanh số'!$X:$X,$A100)+COUNTIFS('HĐ Khung chuyển đổi TC'!$L:$L,$B100,'HĐ Khung chuyển đổi TC'!$T:$T,$A100)</f>
        <v>1</v>
      </c>
      <c r="G100" s="195">
        <f t="shared" si="0"/>
        <v>0.71199999999999997</v>
      </c>
    </row>
    <row r="101" spans="1:8" x14ac:dyDescent="0.2">
      <c r="A101" s="221">
        <v>5</v>
      </c>
      <c r="B101" s="190" t="s">
        <v>229</v>
      </c>
      <c r="C101" s="209" t="e">
        <f>VLOOKUP(Table1[[#This Row],[Nhân sự]],'DROPDOWNDATA-NOFILL'!$A$1:$B$40,2,FALSE)</f>
        <v>#VALUE!</v>
      </c>
      <c r="D101" s="203">
        <f>VLOOKUP(B101,'KPI theo nhân sự'!$C:$R,9,FALSE)</f>
        <v>500000000</v>
      </c>
      <c r="E101" s="290">
        <f>SUMIFS('Data Doanh số'!$J:$J,'Data Doanh số'!$P:$P,$B101,'Data Doanh số'!$X:$X,$A101)+SUMIFS('HĐ Khung chuyển đổi TC'!$I:$I,'HĐ Khung chuyển đổi TC'!$L:$L,$B101,'HĐ Khung chuyển đổi TC'!$T:$T,$A101)</f>
        <v>679735350.5</v>
      </c>
      <c r="F101" s="194">
        <f>COUNTIFS('Data Doanh số'!$P:$P,$B101,'Data Doanh số'!$X:$X,$A101)+COUNTIFS('HĐ Khung chuyển đổi TC'!$L:$L,$B101,'HĐ Khung chuyển đổi TC'!$T:$T,$A101)</f>
        <v>2</v>
      </c>
      <c r="G101" s="195">
        <f t="shared" si="0"/>
        <v>1.359470701</v>
      </c>
    </row>
    <row r="102" spans="1:8" x14ac:dyDescent="0.2">
      <c r="A102" s="222">
        <v>5</v>
      </c>
      <c r="B102" s="223" t="s">
        <v>402</v>
      </c>
      <c r="C102" s="224"/>
      <c r="D102" s="225">
        <f>SUBTOTAL(9,D103:D109)</f>
        <v>5000000000</v>
      </c>
      <c r="E102" s="291">
        <f>SUMIFS('Data Doanh số'!$J:$J,'Data Doanh số'!$Q:$Q,$B102,'Data Doanh số'!$X:$X,$A102)</f>
        <v>2152068004.3296294</v>
      </c>
      <c r="F102" s="227">
        <f>COUNTIFS('Data Doanh số'!$Q:$Q,$B102,'Data Doanh số'!$X:$X,$A102)</f>
        <v>17</v>
      </c>
      <c r="G102" s="228">
        <f t="shared" si="0"/>
        <v>0.43041360086592589</v>
      </c>
    </row>
    <row r="103" spans="1:8" x14ac:dyDescent="0.2">
      <c r="A103" s="221">
        <v>5</v>
      </c>
      <c r="B103" s="190" t="s">
        <v>345</v>
      </c>
      <c r="C103" s="191" t="e">
        <f>VLOOKUP(Table1[[#This Row],[Nhân sự]],'DROPDOWNDATA-NOFILL'!$A$1:$B$40,2,FALSE)</f>
        <v>#VALUE!</v>
      </c>
      <c r="D103" s="203">
        <f>VLOOKUP(B103,'KPI theo nhân sự'!$C:$R,9,FALSE)</f>
        <v>2300000000</v>
      </c>
      <c r="E103" s="290">
        <f>SUMIFS('Data Doanh số'!$J:$J,'Data Doanh số'!$P:$P,$B103,'Data Doanh số'!$X:$X,$A103)+SUMIFS('HĐ Khung chuyển đổi TC'!$I:$I,'HĐ Khung chuyển đổi TC'!$L:$L,$B103,'HĐ Khung chuyển đổi TC'!$T:$T,$A103)</f>
        <v>58962962.962962963</v>
      </c>
      <c r="F103" s="194">
        <f>COUNTIFS('Data Doanh số'!$P:$P,$B103,'Data Doanh số'!$X:$X,$A103)+COUNTIFS('HĐ Khung chuyển đổi TC'!$L:$L,$B103,'HĐ Khung chuyển đổi TC'!$T:$T,$A103)</f>
        <v>1</v>
      </c>
      <c r="G103" s="195">
        <f t="shared" si="0"/>
        <v>2.5636070853462159E-2</v>
      </c>
    </row>
    <row r="104" spans="1:8" x14ac:dyDescent="0.2">
      <c r="A104" s="221">
        <v>5</v>
      </c>
      <c r="B104" s="190" t="s">
        <v>113</v>
      </c>
      <c r="C104" s="191" t="e">
        <f>VLOOKUP(Table1[[#This Row],[Nhân sự]],'DROPDOWNDATA-NOFILL'!$A$1:$B$40,2,FALSE)</f>
        <v>#VALUE!</v>
      </c>
      <c r="D104" s="203" t="str">
        <f>VLOOKUP(B104,'KPI theo nhân sự'!$C:$R,9,FALSE)</f>
        <v> </v>
      </c>
      <c r="E104" s="290">
        <f>SUMIFS('Data Doanh số'!$J:$J,'Data Doanh số'!$P:$P,$B104,'Data Doanh số'!$X:$X,$A104)+SUMIFS('HĐ Khung chuyển đổi TC'!$I:$I,'HĐ Khung chuyển đổi TC'!$L:$L,$B104,'HĐ Khung chuyển đổi TC'!$T:$T,$A104)</f>
        <v>59907407.222222224</v>
      </c>
      <c r="F104" s="194">
        <f>COUNTIFS('Data Doanh số'!$P:$P,$B104,'Data Doanh số'!$X:$X,$A104)+COUNTIFS('HĐ Khung chuyển đổi TC'!$L:$L,$B104,'HĐ Khung chuyển đổi TC'!$T:$T,$A104)</f>
        <v>2</v>
      </c>
      <c r="G104" s="195"/>
    </row>
    <row r="105" spans="1:8" x14ac:dyDescent="0.2">
      <c r="A105" s="221">
        <v>5</v>
      </c>
      <c r="B105" s="190" t="s">
        <v>42</v>
      </c>
      <c r="C105" s="191" t="e">
        <f>VLOOKUP(Table1[[#This Row],[Nhân sự]],'DROPDOWNDATA-NOFILL'!$A$1:$B$40,2,FALSE)</f>
        <v>#VALUE!</v>
      </c>
      <c r="D105" s="203">
        <f>VLOOKUP(B105,'KPI theo nhân sự'!$C:$R,9,FALSE)</f>
        <v>900000000</v>
      </c>
      <c r="E105" s="290">
        <f>SUMIFS('Data Doanh số'!$J:$J,'Data Doanh số'!$P:$P,$B105,'Data Doanh số'!$X:$X,$A105)+SUMIFS('HĐ Khung chuyển đổi TC'!$I:$I,'HĐ Khung chuyển đổi TC'!$L:$L,$B105,'HĐ Khung chuyển đổi TC'!$T:$T,$A105)</f>
        <v>350880555</v>
      </c>
      <c r="F105" s="194">
        <f>COUNTIFS('Data Doanh số'!$P:$P,$B105,'Data Doanh số'!$X:$X,$A105)+COUNTIFS('HĐ Khung chuyển đổi TC'!$L:$L,$B105,'HĐ Khung chuyển đổi TC'!$T:$T,$A105)</f>
        <v>4</v>
      </c>
      <c r="G105" s="195">
        <f>+E105/D105</f>
        <v>0.38986728333333331</v>
      </c>
      <c r="H105" s="201"/>
    </row>
    <row r="106" spans="1:8" x14ac:dyDescent="0.2">
      <c r="A106" s="221">
        <v>5</v>
      </c>
      <c r="B106" s="190" t="s">
        <v>83</v>
      </c>
      <c r="C106" s="191" t="e">
        <f>VLOOKUP(Table1[[#This Row],[Nhân sự]],'DROPDOWNDATA-NOFILL'!$A$1:$B$40,2,FALSE)</f>
        <v>#VALUE!</v>
      </c>
      <c r="D106" s="203">
        <f>VLOOKUP(B106,'KPI theo nhân sự'!$C:$R,9,FALSE)</f>
        <v>900000000</v>
      </c>
      <c r="E106" s="290">
        <f>SUMIFS('Data Doanh số'!$J:$J,'Data Doanh số'!$P:$P,$B106,'Data Doanh số'!$X:$X,$A106)+SUMIFS('HĐ Khung chuyển đổi TC'!$I:$I,'HĐ Khung chuyển đổi TC'!$L:$L,$B106,'HĐ Khung chuyển đổi TC'!$T:$T,$A106)</f>
        <v>669074079.81481481</v>
      </c>
      <c r="F106" s="194">
        <f>COUNTIFS('Data Doanh số'!$P:$P,$B106,'Data Doanh số'!$X:$X,$A106)+COUNTIFS('HĐ Khung chuyển đổi TC'!$L:$L,$B106,'HĐ Khung chuyển đổi TC'!$T:$T,$A106)</f>
        <v>6</v>
      </c>
      <c r="G106" s="195">
        <f>+E106/D106</f>
        <v>0.74341564423868312</v>
      </c>
    </row>
    <row r="107" spans="1:8" x14ac:dyDescent="0.2">
      <c r="A107" s="221">
        <v>5</v>
      </c>
      <c r="B107" s="190" t="s">
        <v>349</v>
      </c>
      <c r="C107" s="191"/>
      <c r="D107" s="203"/>
      <c r="E107" s="290">
        <f>SUMIFS('Data Doanh số'!$J:$J,'Data Doanh số'!$P:$P,$B107,'Data Doanh số'!$X:$X,$A107)+SUMIFS('HĐ Khung chuyển đổi TC'!$I:$I,'HĐ Khung chuyển đổi TC'!$L:$L,$B107,'HĐ Khung chuyển đổi TC'!$T:$T,$A107)</f>
        <v>939715741</v>
      </c>
      <c r="F107" s="194">
        <f>COUNTIFS('Data Doanh số'!$P:$P,$B107,'Data Doanh số'!$X:$X,$A107)+COUNTIFS('HĐ Khung chuyển đổi TC'!$L:$L,$B107,'HĐ Khung chuyển đổi TC'!$T:$T,$A107)</f>
        <v>2</v>
      </c>
      <c r="G107" s="195"/>
    </row>
    <row r="108" spans="1:8" x14ac:dyDescent="0.2">
      <c r="A108" s="221">
        <v>5</v>
      </c>
      <c r="B108" s="190" t="s">
        <v>71</v>
      </c>
      <c r="C108" s="191"/>
      <c r="D108" s="203"/>
      <c r="E108" s="290">
        <f>SUMIFS('Data Doanh số'!$J:$J,'Data Doanh số'!$P:$P,$B108,'Data Doanh số'!$X:$X,$A108)+SUMIFS('HĐ Khung chuyển đổi TC'!$I:$I,'HĐ Khung chuyển đổi TC'!$L:$L,$B108,'HĐ Khung chuyển đổi TC'!$T:$T,$A108)</f>
        <v>43897628.700000003</v>
      </c>
      <c r="F108" s="194">
        <f>COUNTIFS('Data Doanh số'!$P:$P,$B108,'Data Doanh số'!$X:$X,$A108)+COUNTIFS('HĐ Khung chuyển đổi TC'!$L:$L,$B108,'HĐ Khung chuyển đổi TC'!$T:$T,$A108)</f>
        <v>1</v>
      </c>
      <c r="G108" s="195"/>
    </row>
    <row r="109" spans="1:8" x14ac:dyDescent="0.2">
      <c r="A109" s="221">
        <v>5</v>
      </c>
      <c r="B109" s="190" t="s">
        <v>140</v>
      </c>
      <c r="C109" s="191" t="e">
        <f>VLOOKUP(Table1[[#This Row],[Nhân sự]],'DROPDOWNDATA-NOFILL'!$A$1:$B$40,2,FALSE)</f>
        <v>#VALUE!</v>
      </c>
      <c r="D109" s="203">
        <f>VLOOKUP(B109,'KPI theo nhân sự'!$C:$R,9,FALSE)</f>
        <v>900000000</v>
      </c>
      <c r="E109" s="290">
        <f>SUMIFS('Data Doanh số'!$J:$J,'Data Doanh số'!$P:$P,$B109,'Data Doanh số'!$X:$X,$A109)+SUMIFS('HĐ Khung chuyển đổi TC'!$I:$I,'HĐ Khung chuyển đổi TC'!$L:$L,$B109,'HĐ Khung chuyển đổi TC'!$T:$T,$A109)</f>
        <v>0</v>
      </c>
      <c r="F109" s="194">
        <f>COUNTIFS('Data Doanh số'!$P:$P,$B109,'Data Doanh số'!$X:$X,$A109)+COUNTIFS('HĐ Khung chuyển đổi TC'!$L:$L,$B109,'HĐ Khung chuyển đổi TC'!$T:$T,$A109)</f>
        <v>0</v>
      </c>
      <c r="G109" s="195">
        <f t="shared" ref="G109:G118" si="1">+E109/D109</f>
        <v>0</v>
      </c>
    </row>
    <row r="110" spans="1:8" x14ac:dyDescent="0.2">
      <c r="A110" s="222">
        <v>5</v>
      </c>
      <c r="B110" s="223" t="s">
        <v>403</v>
      </c>
      <c r="C110" s="224" t="e">
        <f>VLOOKUP(Table1[[#This Row],[Nhân sự]],'DROPDOWNDATA-NOFILL'!$A$1:$B$40,2,FALSE)</f>
        <v>#VALUE!</v>
      </c>
      <c r="D110" s="225">
        <f>SUBTOTAL(9,D111:D112)</f>
        <v>5000000000</v>
      </c>
      <c r="E110" s="291">
        <f>SUMIFS('Data Doanh số'!$J:$J,'Data Doanh số'!$Q:$Q,$B110,'Data Doanh số'!$X:$X,$A110)</f>
        <v>4662324855</v>
      </c>
      <c r="F110" s="227">
        <f>COUNTIFS('Data Doanh số'!$Q:$Q,$B110,'Data Doanh số'!$X:$X,$A110)</f>
        <v>3</v>
      </c>
      <c r="G110" s="228">
        <f t="shared" si="1"/>
        <v>0.93246497100000003</v>
      </c>
      <c r="H110" s="201"/>
    </row>
    <row r="111" spans="1:8" x14ac:dyDescent="0.2">
      <c r="A111" s="221">
        <v>5</v>
      </c>
      <c r="B111" s="190" t="s">
        <v>312</v>
      </c>
      <c r="C111" s="191" t="e">
        <f>VLOOKUP(Table1[[#This Row],[Nhân sự]],'DROPDOWNDATA-NOFILL'!$A$1:$B$40,2,FALSE)</f>
        <v>#VALUE!</v>
      </c>
      <c r="D111" s="203">
        <f>VLOOKUP(B111,'KPI theo nhân sự'!$C:$R,9,FALSE)</f>
        <v>4000000000</v>
      </c>
      <c r="E111" s="290">
        <f>SUMIFS('Data Doanh số'!$J:$J,'Data Doanh số'!$P:$P,$B111,'Data Doanh số'!$X:$X,$A111)+SUMIFS('HĐ Khung chuyển đổi TC'!$I:$I,'HĐ Khung chuyển đổi TC'!$L:$L,$B111,'HĐ Khung chuyển đổi TC'!$T:$T,$A111)</f>
        <v>4662324855</v>
      </c>
      <c r="F111" s="194">
        <f>COUNTIFS('Data Doanh số'!$P:$P,$B111,'Data Doanh số'!$X:$X,$A111)+COUNTIFS('HĐ Khung chuyển đổi TC'!$L:$L,$B111,'HĐ Khung chuyển đổi TC'!$T:$T,$A111)</f>
        <v>3</v>
      </c>
      <c r="G111" s="195">
        <f t="shared" si="1"/>
        <v>1.1655812137499999</v>
      </c>
    </row>
    <row r="112" spans="1:8" x14ac:dyDescent="0.2">
      <c r="A112" s="221">
        <v>5</v>
      </c>
      <c r="B112" s="190" t="s">
        <v>236</v>
      </c>
      <c r="C112" s="209" t="e">
        <f>VLOOKUP(Table1[[#This Row],[Nhân sự]],'DROPDOWNDATA-NOFILL'!$A$1:$B$40,2,FALSE)</f>
        <v>#VALUE!</v>
      </c>
      <c r="D112" s="203">
        <f>VLOOKUP(B112,'KPI theo nhân sự'!$C:$R,9,FALSE)</f>
        <v>1000000000</v>
      </c>
      <c r="E112" s="290">
        <f>SUMIFS('Data Doanh số'!$J:$J,'Data Doanh số'!$P:$P,$B112,'Data Doanh số'!$X:$X,$A112)+SUMIFS('HĐ Khung chuyển đổi TC'!$I:$I,'HĐ Khung chuyển đổi TC'!$L:$L,$B112,'HĐ Khung chuyển đổi TC'!$T:$T,$A112)</f>
        <v>0</v>
      </c>
      <c r="F112" s="194">
        <f>COUNTIFS('Data Doanh số'!$P:$P,$B112,'Data Doanh số'!$X:$X,$A112)+COUNTIFS('HĐ Khung chuyển đổi TC'!$L:$L,$B112,'HĐ Khung chuyển đổi TC'!$T:$T,$A112)</f>
        <v>0</v>
      </c>
      <c r="G112" s="195">
        <f t="shared" si="1"/>
        <v>0</v>
      </c>
    </row>
    <row r="113" spans="1:7" x14ac:dyDescent="0.2">
      <c r="A113" s="222">
        <v>5</v>
      </c>
      <c r="B113" s="223" t="s">
        <v>405</v>
      </c>
      <c r="C113" s="224" t="e">
        <f>VLOOKUP(Table1[[#This Row],[Nhân sự]],'DROPDOWNDATA-NOFILL'!$A$1:$B$40,2,FALSE)</f>
        <v>#VALUE!</v>
      </c>
      <c r="D113" s="225">
        <f>SUBTOTAL(9,D114:D116)</f>
        <v>13000000000</v>
      </c>
      <c r="E113" s="291">
        <f>SUMIFS('Data Doanh số'!$J:$J,'Data Doanh số'!$Q:$Q,$B113,'Data Doanh số'!$X:$X,$A113)</f>
        <v>275142215.2962963</v>
      </c>
      <c r="F113" s="227">
        <f>COUNTIFS('Data Doanh số'!$Q:$Q,$B113,'Data Doanh số'!$X:$X,$A113)</f>
        <v>3</v>
      </c>
      <c r="G113" s="228">
        <f t="shared" si="1"/>
        <v>2.1164785792022793E-2</v>
      </c>
    </row>
    <row r="114" spans="1:7" x14ac:dyDescent="0.2">
      <c r="A114" s="221">
        <v>5</v>
      </c>
      <c r="B114" s="190" t="s">
        <v>210</v>
      </c>
      <c r="C114" s="209" t="e">
        <f>VLOOKUP(Table1[[#This Row],[Nhân sự]],'DROPDOWNDATA-NOFILL'!$A$1:$B$40,2,FALSE)</f>
        <v>#VALUE!</v>
      </c>
      <c r="D114" s="203">
        <f>VLOOKUP(B114,'KPI theo nhân sự'!$C:$R,9,FALSE)</f>
        <v>11700000000</v>
      </c>
      <c r="E114" s="290">
        <f>SUMIFS('Data Doanh số'!$J:$J,'Data Doanh số'!$P:$P,$B114,'Data Doanh số'!$X:$X,$A114)+SUMIFS('HĐ Khung chuyển đổi TC'!$I:$I,'HĐ Khung chuyển đổi TC'!$L:$L,$B114,'HĐ Khung chuyển đổi TC'!$T:$T,$A114)</f>
        <v>0</v>
      </c>
      <c r="F114" s="194">
        <f>COUNTIFS('Data Doanh số'!$P:$P,$B114,'Data Doanh số'!$X:$X,$A114)+COUNTIFS('HĐ Khung chuyển đổi TC'!$L:$L,$B114,'HĐ Khung chuyển đổi TC'!$T:$T,$A114)</f>
        <v>0</v>
      </c>
      <c r="G114" s="195">
        <f t="shared" si="1"/>
        <v>0</v>
      </c>
    </row>
    <row r="115" spans="1:7" x14ac:dyDescent="0.2">
      <c r="A115" s="221">
        <v>5</v>
      </c>
      <c r="B115" s="190" t="s">
        <v>63</v>
      </c>
      <c r="C115" s="191" t="e">
        <f>VLOOKUP(Table1[[#This Row],[Nhân sự]],'DROPDOWNDATA-NOFILL'!$A$1:$B$40,2,FALSE)</f>
        <v>#VALUE!</v>
      </c>
      <c r="D115" s="203">
        <f>VLOOKUP(B115,'KPI theo nhân sự'!$C:$R,9,FALSE)</f>
        <v>800000000</v>
      </c>
      <c r="E115" s="290">
        <f>SUMIFS('Data Doanh số'!$J:$J,'Data Doanh số'!$P:$P,$B115,'Data Doanh số'!$X:$X,$A115)+SUMIFS('HĐ Khung chuyển đổi TC'!$I:$I,'HĐ Khung chuyển đổi TC'!$L:$L,$B115,'HĐ Khung chuyển đổi TC'!$T:$T,$A115)</f>
        <v>0</v>
      </c>
      <c r="F115" s="194">
        <f>COUNTIFS('Data Doanh số'!$P:$P,$B115,'Data Doanh số'!$X:$X,$A115)+COUNTIFS('HĐ Khung chuyển đổi TC'!$L:$L,$B115,'HĐ Khung chuyển đổi TC'!$T:$T,$A115)</f>
        <v>0</v>
      </c>
      <c r="G115" s="195">
        <f t="shared" si="1"/>
        <v>0</v>
      </c>
    </row>
    <row r="116" spans="1:7" x14ac:dyDescent="0.2">
      <c r="A116" s="221">
        <v>5</v>
      </c>
      <c r="B116" s="190" t="s">
        <v>130</v>
      </c>
      <c r="C116" s="209" t="e">
        <f>VLOOKUP(Table1[[#This Row],[Nhân sự]],'DROPDOWNDATA-NOFILL'!$A$1:$B$40,2,FALSE)</f>
        <v>#VALUE!</v>
      </c>
      <c r="D116" s="203">
        <f>VLOOKUP(B116,'KPI theo nhân sự'!$C:$R,9,FALSE)</f>
        <v>500000000</v>
      </c>
      <c r="E116" s="290">
        <f>SUMIFS('Data Doanh số'!$J:$J,'Data Doanh số'!$P:$P,$B116,'Data Doanh số'!$X:$X,$A116)+SUMIFS('HĐ Khung chuyển đổi TC'!$I:$I,'HĐ Khung chuyển đổi TC'!$L:$L,$B116,'HĐ Khung chuyển đổi TC'!$T:$T,$A116)</f>
        <v>643991653.25925922</v>
      </c>
      <c r="F116" s="194">
        <f>COUNTIFS('Data Doanh số'!$P:$P,$B116,'Data Doanh số'!$X:$X,$A116)+COUNTIFS('HĐ Khung chuyển đổi TC'!$L:$L,$B116,'HĐ Khung chuyển đổi TC'!$T:$T,$A116)</f>
        <v>4</v>
      </c>
      <c r="G116" s="195">
        <f t="shared" si="1"/>
        <v>1.2879833065185184</v>
      </c>
    </row>
    <row r="117" spans="1:7" x14ac:dyDescent="0.2">
      <c r="A117" s="300">
        <v>5</v>
      </c>
      <c r="B117" s="301" t="s">
        <v>117</v>
      </c>
      <c r="C117" s="224" t="e">
        <f>VLOOKUP(Table1[[#This Row],[Nhân sự]],'DROPDOWNDATA-NOFILL'!$A$1:$B$40,2,FALSE)</f>
        <v>#VALUE!</v>
      </c>
      <c r="D117" s="225">
        <f>SUBTOTAL(9,D118)</f>
        <v>50000000</v>
      </c>
      <c r="E117" s="291">
        <f>SUMIFS('Data Doanh số'!$J:$J,'Data Doanh số'!$Q:$Q,$B117,'Data Doanh số'!$X:$X,$A117)</f>
        <v>5201622.6296296315</v>
      </c>
      <c r="F117" s="227">
        <f>COUNTIFS('Data Doanh số'!$Q:$Q,$B117,'Data Doanh số'!$X:$X,$A117)</f>
        <v>4</v>
      </c>
      <c r="G117" s="228">
        <f t="shared" si="1"/>
        <v>0.10403245259259263</v>
      </c>
    </row>
    <row r="118" spans="1:7" ht="16.5" x14ac:dyDescent="0.2">
      <c r="A118" s="298">
        <v>5</v>
      </c>
      <c r="B118" s="299" t="s">
        <v>180</v>
      </c>
      <c r="C118" s="189" t="e">
        <f>VLOOKUP(Table1[[#This Row],[Nhân sự]],'DROPDOWNDATA-NOFILL'!$A$1:$B$40,2,FALSE)</f>
        <v>#VALUE!</v>
      </c>
      <c r="D118" s="203">
        <f>VLOOKUP(B118,'KPI theo nhân sự'!$C:$R,9,FALSE)</f>
        <v>50000000</v>
      </c>
      <c r="E118" s="290">
        <f>SUMIFS('Data Doanh số'!$J:$J,'Data Doanh số'!$P:$P,$B118,'Data Doanh số'!$X:$X,$A118)+SUMIFS('HĐ Khung chuyển đổi TC'!$I:$I,'HĐ Khung chuyển đổi TC'!$L:$L,$B118,'HĐ Khung chuyển đổi TC'!$T:$T,$A118)</f>
        <v>3348993.6296296315</v>
      </c>
      <c r="F118" s="194">
        <f>COUNTIFS('Data Doanh số'!$P:$P,$B118,'Data Doanh số'!$X:$X,$A118)+COUNTIFS('HĐ Khung chuyển đổi TC'!$L:$L,$B118,'HĐ Khung chuyển đổi TC'!$T:$T,$A118)</f>
        <v>3</v>
      </c>
      <c r="G118" s="195">
        <f t="shared" si="1"/>
        <v>6.6979872592592624E-2</v>
      </c>
    </row>
    <row r="119" spans="1:7" ht="16.5" x14ac:dyDescent="0.2">
      <c r="A119" s="298">
        <v>5</v>
      </c>
      <c r="B119" s="299" t="s">
        <v>364</v>
      </c>
      <c r="C119" s="189"/>
      <c r="D119" s="203"/>
      <c r="E119" s="290">
        <f>SUMIFS('Data Doanh số'!$J:$J,'Data Doanh số'!$P:$P,$B119,'Data Doanh số'!$X:$X,$A119)+SUMIFS('HĐ Khung chuyển đổi TC'!$I:$I,'HĐ Khung chuyển đổi TC'!$L:$L,$B119,'HĐ Khung chuyển đổi TC'!$T:$T,$A119)</f>
        <v>1852629</v>
      </c>
      <c r="F119" s="194">
        <f>COUNTIFS('Data Doanh số'!$P:$P,$B119,'Data Doanh số'!$X:$X,$A119)+COUNTIFS('HĐ Khung chuyển đổi TC'!$L:$L,$B119,'HĐ Khung chuyển đổi TC'!$T:$T,$A119)</f>
        <v>1</v>
      </c>
      <c r="G119" s="195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8F8F2-D8BC-430D-B33A-1391E3671E6D}">
  <dimension ref="A1:O244"/>
  <sheetViews>
    <sheetView topLeftCell="A128" workbookViewId="0">
      <selection activeCell="M243" sqref="M243"/>
    </sheetView>
  </sheetViews>
  <sheetFormatPr defaultColWidth="9.125" defaultRowHeight="14.25" x14ac:dyDescent="0.2"/>
  <cols>
    <col min="1" max="1" width="9.125" style="238"/>
    <col min="2" max="4" width="9.125" style="237"/>
    <col min="5" max="5" width="22.375" style="237" customWidth="1"/>
    <col min="6" max="6" width="19.25" style="237" customWidth="1"/>
    <col min="7" max="7" width="14.75" style="237" customWidth="1"/>
    <col min="8" max="8" width="20" style="237" customWidth="1"/>
    <col min="9" max="9" width="22.625" style="237" customWidth="1"/>
    <col min="10" max="10" width="24.125" style="237" customWidth="1"/>
    <col min="11" max="11" width="22.375" style="237" customWidth="1"/>
    <col min="12" max="12" width="24.125" style="237" customWidth="1"/>
    <col min="13" max="13" width="27.125" style="237" customWidth="1"/>
    <col min="14" max="14" width="24.25" style="237" customWidth="1"/>
    <col min="15" max="15" width="28" style="237" customWidth="1"/>
    <col min="16" max="16" width="9.125" style="237"/>
    <col min="17" max="17" width="15.375" style="237" customWidth="1"/>
    <col min="18" max="16384" width="9.125" style="237"/>
  </cols>
  <sheetData>
    <row r="1" spans="1:13" ht="15" x14ac:dyDescent="0.2">
      <c r="A1" s="243" t="s">
        <v>25</v>
      </c>
    </row>
    <row r="2" spans="1:13" ht="48.75" customHeight="1" x14ac:dyDescent="0.2">
      <c r="A2" s="238" t="s">
        <v>498</v>
      </c>
      <c r="B2" s="237" t="s">
        <v>25</v>
      </c>
      <c r="D2" s="178" t="s">
        <v>0</v>
      </c>
      <c r="E2" s="178" t="s">
        <v>509</v>
      </c>
      <c r="F2" s="179" t="s">
        <v>510</v>
      </c>
      <c r="G2" s="179" t="s">
        <v>511</v>
      </c>
      <c r="H2" s="179" t="s">
        <v>512</v>
      </c>
      <c r="I2" s="178" t="s">
        <v>513</v>
      </c>
      <c r="J2" s="179" t="s">
        <v>514</v>
      </c>
      <c r="K2" s="179" t="s">
        <v>515</v>
      </c>
      <c r="L2" s="179" t="s">
        <v>516</v>
      </c>
      <c r="M2" s="179" t="s">
        <v>517</v>
      </c>
    </row>
    <row r="3" spans="1:13" ht="16.5" customHeight="1" x14ac:dyDescent="0.2">
      <c r="A3" s="238">
        <v>5</v>
      </c>
      <c r="B3" s="237" t="s">
        <v>309</v>
      </c>
      <c r="D3" s="128"/>
      <c r="E3" s="128"/>
      <c r="F3" s="140" t="s">
        <v>518</v>
      </c>
      <c r="G3" s="140" t="s">
        <v>519</v>
      </c>
      <c r="H3" s="128" t="s">
        <v>520</v>
      </c>
      <c r="I3" s="128" t="s">
        <v>521</v>
      </c>
      <c r="J3" s="140" t="s">
        <v>522</v>
      </c>
      <c r="K3" s="140" t="s">
        <v>523</v>
      </c>
      <c r="L3" s="140" t="s">
        <v>524</v>
      </c>
      <c r="M3" s="140" t="s">
        <v>525</v>
      </c>
    </row>
    <row r="4" spans="1:13" x14ac:dyDescent="0.2">
      <c r="D4" s="135" t="s">
        <v>526</v>
      </c>
      <c r="E4" s="136" t="s">
        <v>402</v>
      </c>
      <c r="F4" s="142">
        <f t="shared" ref="F4:M4" si="0">SUBTOTAL(9,F5:F11)</f>
        <v>2</v>
      </c>
      <c r="G4" s="142">
        <f t="shared" si="0"/>
        <v>1</v>
      </c>
      <c r="H4" s="142">
        <f t="shared" si="0"/>
        <v>0</v>
      </c>
      <c r="I4" s="172">
        <f t="shared" si="0"/>
        <v>68870370.222222224</v>
      </c>
      <c r="J4" s="172">
        <f t="shared" si="0"/>
        <v>0</v>
      </c>
      <c r="K4" s="172">
        <f t="shared" si="0"/>
        <v>0</v>
      </c>
      <c r="L4" s="172">
        <f t="shared" si="0"/>
        <v>68870370.222222224</v>
      </c>
      <c r="M4" s="142">
        <f t="shared" si="0"/>
        <v>3</v>
      </c>
    </row>
    <row r="5" spans="1:13" ht="18" customHeight="1" x14ac:dyDescent="0.2">
      <c r="B5" s="238"/>
      <c r="D5" s="129">
        <v>1</v>
      </c>
      <c r="E5" s="132" t="s">
        <v>113</v>
      </c>
      <c r="F5" s="143">
        <f>COUNTIFS('Data Doanh số'!$P:$P,'BC tuần'!$E5,'Data Doanh số'!$I:$I,"Thiết kế",'Data Doanh số'!$X:$X,$A$3,'Data Doanh số'!$Z:$Z,'BC tuần'!$B$3)</f>
        <v>1</v>
      </c>
      <c r="G5" s="143">
        <f>COUNTIFS('Data Doanh số'!$P:$P,'BC tuần'!$E5,'Data Doanh số'!$I:$I,"Thi công",'Data Doanh số'!$X:$X,$A$3,'Data Doanh số'!$Z:$Z,'BC tuần'!$B$3)</f>
        <v>1</v>
      </c>
      <c r="H5" s="171">
        <f>COUNTIFS(
'Data Doanh số'!$P:$P,'BC tuần'!$E5,
'Data Doanh số'!$I:$I,"&lt;&gt;Thi công",
'Data Doanh số'!$I:$I,"&lt;&gt;Thiết kế",
'Data Doanh số'!$X:$X,$A$3,'Data Doanh số'!$Z:$Z,'BC tuần'!$B$3
)</f>
        <v>0</v>
      </c>
      <c r="I5" s="133">
        <f>SUMIFS('Data Doanh số'!$J:$J,'Data Doanh số'!$P:$P,'BC tuần'!$E5,'Data Doanh số'!$X:$X,$A$3,'Data Doanh số'!$Z:$Z,'BC tuần'!$B$3)</f>
        <v>59907407.222222224</v>
      </c>
      <c r="J5" s="133">
        <f>COUNTIFS('HĐ Khung chuyển đổi TC'!$L:$L,'BC tuần'!$E5,'HĐ Khung chuyển đổi TC'!$T:$T,'BC tuần'!$A$3,'HĐ Khung chuyển đổi TC'!$V:$V,'BC tuần'!$B$3)</f>
        <v>0</v>
      </c>
      <c r="K5" s="133">
        <f>SUMIFS('HĐ Khung chuyển đổi TC'!$I:$I,'HĐ Khung chuyển đổi TC'!$L:$L,'BC tuần'!$E5,'HĐ Khung chuyển đổi TC'!$T:$T,'BC tuần'!$A$3,'HĐ Khung chuyển đổi TC'!$V:$V,'BC tuần'!$B$3)</f>
        <v>0</v>
      </c>
      <c r="L5" s="239">
        <f t="shared" ref="L5:L11" si="1">+I5+K5</f>
        <v>59907407.222222224</v>
      </c>
      <c r="M5" s="240">
        <f t="shared" ref="M5:M11" si="2">+F5+G5+H5+J5</f>
        <v>2</v>
      </c>
    </row>
    <row r="6" spans="1:13" ht="18" hidden="1" customHeight="1" x14ac:dyDescent="0.2">
      <c r="B6" s="238"/>
      <c r="D6" s="129">
        <v>1</v>
      </c>
      <c r="E6" s="132" t="s">
        <v>71</v>
      </c>
      <c r="F6" s="143">
        <f>COUNTIFS('Data Doanh số'!$P:$P,'BC tuần'!$E6,'Data Doanh số'!$I:$I,"Thiết kế",'Data Doanh số'!$X:$X,$A$3,'Data Doanh số'!$Z:$Z,'BC tuần'!$B$3)</f>
        <v>0</v>
      </c>
      <c r="G6" s="143">
        <f>COUNTIFS('Data Doanh số'!$P:$P,'BC tuần'!$E6,'Data Doanh số'!$I:$I,"Thi công",'Data Doanh số'!$X:$X,$A$3,'Data Doanh số'!$Z:$Z,'BC tuần'!$B$3)</f>
        <v>0</v>
      </c>
      <c r="H6" s="171">
        <f>COUNTIFS(
'Data Doanh số'!$P:$P,'BC tuần'!$E6,
'Data Doanh số'!$I:$I,"&lt;&gt;Thi công",
'Data Doanh số'!$I:$I,"&lt;&gt;Thiết kế",
'Data Doanh số'!$X:$X,$A$3,'Data Doanh số'!$Z:$Z,'BC tuần'!$B$3
)</f>
        <v>0</v>
      </c>
      <c r="I6" s="133">
        <f>SUMIFS('Data Doanh số'!$J:$J,'Data Doanh số'!$P:$P,'BC tuần'!$E6,'Data Doanh số'!$X:$X,$A$3,'Data Doanh số'!$Z:$Z,'BC tuần'!$B$3)</f>
        <v>0</v>
      </c>
      <c r="J6" s="133">
        <f>COUNTIFS('HĐ Khung chuyển đổi TC'!$L:$L,'BC tuần'!$E6,'HĐ Khung chuyển đổi TC'!$T:$T,'BC tuần'!$A$3,'HĐ Khung chuyển đổi TC'!$V:$V,'BC tuần'!$B$3)</f>
        <v>0</v>
      </c>
      <c r="K6" s="133">
        <f>SUMIFS('HĐ Khung chuyển đổi TC'!$I:$I,'HĐ Khung chuyển đổi TC'!$L:$L,'BC tuần'!$E6,'HĐ Khung chuyển đổi TC'!$T:$T,'BC tuần'!$A$3,'HĐ Khung chuyển đổi TC'!$V:$V,'BC tuần'!$B$3)</f>
        <v>0</v>
      </c>
      <c r="L6" s="239">
        <f t="shared" si="1"/>
        <v>0</v>
      </c>
      <c r="M6" s="240">
        <f t="shared" si="2"/>
        <v>0</v>
      </c>
    </row>
    <row r="7" spans="1:13" ht="15" hidden="1" x14ac:dyDescent="0.2">
      <c r="B7" s="238"/>
      <c r="D7" s="129">
        <v>2</v>
      </c>
      <c r="E7" s="132" t="s">
        <v>87</v>
      </c>
      <c r="F7" s="143">
        <f>COUNTIFS('Data Doanh số'!$P:$P,'BC tuần'!$E7,'Data Doanh số'!$I:$I,"Thiết kế",'Data Doanh số'!$X:$X,$A$3,'Data Doanh số'!$Z:$Z,'BC tuần'!$B$3)</f>
        <v>0</v>
      </c>
      <c r="G7" s="143">
        <f>COUNTIFS('Data Doanh số'!$P:$P,'BC tuần'!$E7,'Data Doanh số'!$I:$I,"Thi công",'Data Doanh số'!$X:$X,$A$3,'Data Doanh số'!$Z:$Z,'BC tuần'!$B$3)</f>
        <v>0</v>
      </c>
      <c r="H7" s="171">
        <f>COUNTIFS(
'Data Doanh số'!$P:$P,'BC tuần'!$E7,
'Data Doanh số'!$I:$I,"&lt;&gt;Thi công",
'Data Doanh số'!$I:$I,"&lt;&gt;Thiết kế",
'Data Doanh số'!$X:$X,$A$3,'Data Doanh số'!$Z:$Z,'BC tuần'!$B$3
)</f>
        <v>0</v>
      </c>
      <c r="I7" s="133">
        <f>SUMIFS('Data Doanh số'!$J:$J,'Data Doanh số'!$P:$P,'BC tuần'!$E7,'Data Doanh số'!$X:$X,$A$3,'Data Doanh số'!$Z:$Z,'BC tuần'!$B$3)</f>
        <v>0</v>
      </c>
      <c r="J7" s="133">
        <f>COUNTIFS('HĐ Khung chuyển đổi TC'!$L:$L,'BC tuần'!$E7,'HĐ Khung chuyển đổi TC'!$T:$T,'BC tuần'!$A$3,'HĐ Khung chuyển đổi TC'!$V:$V,'BC tuần'!$B$3)</f>
        <v>0</v>
      </c>
      <c r="K7" s="133">
        <f>SUMIFS('HĐ Khung chuyển đổi TC'!$I:$I,'HĐ Khung chuyển đổi TC'!$L:$L,'BC tuần'!$E7,'HĐ Khung chuyển đổi TC'!$T:$T,'BC tuần'!$A$3,'HĐ Khung chuyển đổi TC'!$V:$V,'BC tuần'!$B$3)</f>
        <v>0</v>
      </c>
      <c r="L7" s="239">
        <f t="shared" si="1"/>
        <v>0</v>
      </c>
      <c r="M7" s="240">
        <f t="shared" si="2"/>
        <v>0</v>
      </c>
    </row>
    <row r="8" spans="1:13" ht="15" x14ac:dyDescent="0.2">
      <c r="B8" s="238"/>
      <c r="D8" s="129">
        <v>2</v>
      </c>
      <c r="E8" s="132" t="s">
        <v>42</v>
      </c>
      <c r="F8" s="143">
        <f>COUNTIFS('Data Doanh số'!$P:$P,'BC tuần'!$E8,'Data Doanh số'!$I:$I,"Thiết kế",'Data Doanh số'!$X:$X,$A$3,'Data Doanh số'!$Z:$Z,'BC tuần'!$B$3)</f>
        <v>1</v>
      </c>
      <c r="G8" s="143">
        <f>COUNTIFS('Data Doanh số'!$P:$P,'BC tuần'!$E8,'Data Doanh số'!$I:$I,"Thi công",'Data Doanh số'!$X:$X,$A$3,'Data Doanh số'!$Z:$Z,'BC tuần'!$B$3)</f>
        <v>0</v>
      </c>
      <c r="H8" s="171">
        <f>COUNTIFS(
'Data Doanh số'!$P:$P,'BC tuần'!$E8,
'Data Doanh số'!$I:$I,"&lt;&gt;Thi công",
'Data Doanh số'!$I:$I,"&lt;&gt;Thiết kế",
'Data Doanh số'!$X:$X,$A$3,'Data Doanh số'!$Z:$Z,'BC tuần'!$B$3
)</f>
        <v>0</v>
      </c>
      <c r="I8" s="133">
        <f>SUMIFS('Data Doanh số'!$J:$J,'Data Doanh số'!$P:$P,'BC tuần'!$E8,'Data Doanh số'!$X:$X,$A$3,'Data Doanh số'!$Z:$Z,'BC tuần'!$B$3)</f>
        <v>8962963</v>
      </c>
      <c r="J8" s="133">
        <f>COUNTIFS('HĐ Khung chuyển đổi TC'!$L:$L,'BC tuần'!$E8,'HĐ Khung chuyển đổi TC'!$T:$T,'BC tuần'!$A$3,'HĐ Khung chuyển đổi TC'!$V:$V,'BC tuần'!$B$3)</f>
        <v>0</v>
      </c>
      <c r="K8" s="133">
        <f>SUMIFS('HĐ Khung chuyển đổi TC'!$I:$I,'HĐ Khung chuyển đổi TC'!$L:$L,'BC tuần'!$E8,'HĐ Khung chuyển đổi TC'!$T:$T,'BC tuần'!$A$3,'HĐ Khung chuyển đổi TC'!$V:$V,'BC tuần'!$B$3)</f>
        <v>0</v>
      </c>
      <c r="L8" s="239">
        <f t="shared" si="1"/>
        <v>8962963</v>
      </c>
      <c r="M8" s="240">
        <f t="shared" si="2"/>
        <v>1</v>
      </c>
    </row>
    <row r="9" spans="1:13" ht="15" hidden="1" x14ac:dyDescent="0.2">
      <c r="B9" s="238"/>
      <c r="D9" s="129">
        <v>4</v>
      </c>
      <c r="E9" s="132" t="s">
        <v>105</v>
      </c>
      <c r="F9" s="143">
        <f>COUNTIFS('Data Doanh số'!$P:$P,'BC tuần'!$E9,'Data Doanh số'!$I:$I,"Thiết kế",'Data Doanh số'!$X:$X,$A$3,'Data Doanh số'!$Z:$Z,'BC tuần'!$B$3)</f>
        <v>0</v>
      </c>
      <c r="G9" s="143">
        <f>COUNTIFS('Data Doanh số'!$P:$P,'BC tuần'!$E9,'Data Doanh số'!$I:$I,"Thi công",'Data Doanh số'!$X:$X,$A$3,'Data Doanh số'!$Z:$Z,'BC tuần'!$B$3)</f>
        <v>0</v>
      </c>
      <c r="H9" s="171">
        <f>COUNTIFS(
'Data Doanh số'!$P:$P,'BC tuần'!$E9,
'Data Doanh số'!$I:$I,"&lt;&gt;Thi công",
'Data Doanh số'!$I:$I,"&lt;&gt;Thiết kế",
'Data Doanh số'!$X:$X,$A$3,'Data Doanh số'!$Z:$Z,'BC tuần'!$B$3
)</f>
        <v>0</v>
      </c>
      <c r="I9" s="133">
        <f>SUMIFS('Data Doanh số'!$J:$J,'Data Doanh số'!$P:$P,'BC tuần'!$E9,'Data Doanh số'!$X:$X,$A$3,'Data Doanh số'!$Z:$Z,'BC tuần'!$B$3)</f>
        <v>0</v>
      </c>
      <c r="J9" s="133">
        <f>COUNTIFS('HĐ Khung chuyển đổi TC'!$L:$L,'BC tuần'!$E9,'HĐ Khung chuyển đổi TC'!$T:$T,'BC tuần'!$A$3,'HĐ Khung chuyển đổi TC'!$V:$V,'BC tuần'!$B$3)</f>
        <v>0</v>
      </c>
      <c r="K9" s="133">
        <f>SUMIFS('HĐ Khung chuyển đổi TC'!$I:$I,'HĐ Khung chuyển đổi TC'!$L:$L,'BC tuần'!$E9,'HĐ Khung chuyển đổi TC'!$T:$T,'BC tuần'!$A$3,'HĐ Khung chuyển đổi TC'!$V:$V,'BC tuần'!$B$3)</f>
        <v>0</v>
      </c>
      <c r="L9" s="239">
        <f t="shared" si="1"/>
        <v>0</v>
      </c>
      <c r="M9" s="240">
        <f t="shared" si="2"/>
        <v>0</v>
      </c>
    </row>
    <row r="10" spans="1:13" ht="15" x14ac:dyDescent="0.2">
      <c r="B10" s="238"/>
      <c r="D10" s="129">
        <v>3</v>
      </c>
      <c r="E10" s="132" t="s">
        <v>83</v>
      </c>
      <c r="F10" s="143">
        <f>COUNTIFS('Data Doanh số'!$P:$P,'BC tuần'!$E10,'Data Doanh số'!$I:$I,"Thiết kế",'Data Doanh số'!$X:$X,$A$3,'Data Doanh số'!$Z:$Z,'BC tuần'!$B$3)</f>
        <v>0</v>
      </c>
      <c r="G10" s="143">
        <f>COUNTIFS('Data Doanh số'!$P:$P,'BC tuần'!$E10,'Data Doanh số'!$I:$I,"Thi công",'Data Doanh số'!$X:$X,$A$3,'Data Doanh số'!$Z:$Z,'BC tuần'!$B$3)</f>
        <v>0</v>
      </c>
      <c r="H10" s="171">
        <f>COUNTIFS(
'Data Doanh số'!$P:$P,'BC tuần'!$E10,
'Data Doanh số'!$I:$I,"&lt;&gt;Thi công",
'Data Doanh số'!$I:$I,"&lt;&gt;Thiết kế",
'Data Doanh số'!$X:$X,$A$3,'Data Doanh số'!$Z:$Z,'BC tuần'!$B$3
)</f>
        <v>0</v>
      </c>
      <c r="I10" s="133">
        <f>SUMIFS('Data Doanh số'!$J:$J,'Data Doanh số'!$P:$P,'BC tuần'!$E10,'Data Doanh số'!$X:$X,$A$3,'Data Doanh số'!$Z:$Z,'BC tuần'!$B$3)</f>
        <v>0</v>
      </c>
      <c r="J10" s="133">
        <f>COUNTIFS('HĐ Khung chuyển đổi TC'!$L:$L,'BC tuần'!$E10,'HĐ Khung chuyển đổi TC'!$T:$T,'BC tuần'!$A$3,'HĐ Khung chuyển đổi TC'!$V:$V,'BC tuần'!$B$3)</f>
        <v>0</v>
      </c>
      <c r="K10" s="133">
        <f>SUMIFS('HĐ Khung chuyển đổi TC'!$I:$I,'HĐ Khung chuyển đổi TC'!$L:$L,'BC tuần'!$E10,'HĐ Khung chuyển đổi TC'!$T:$T,'BC tuần'!$A$3,'HĐ Khung chuyển đổi TC'!$V:$V,'BC tuần'!$B$3)</f>
        <v>0</v>
      </c>
      <c r="L10" s="239">
        <f t="shared" si="1"/>
        <v>0</v>
      </c>
      <c r="M10" s="240">
        <f t="shared" si="2"/>
        <v>0</v>
      </c>
    </row>
    <row r="11" spans="1:13" ht="15" x14ac:dyDescent="0.2">
      <c r="B11" s="238"/>
      <c r="D11" s="129">
        <v>4</v>
      </c>
      <c r="E11" s="132" t="s">
        <v>140</v>
      </c>
      <c r="F11" s="143">
        <f>COUNTIFS('Data Doanh số'!$P:$P,'BC tuần'!$E11,'Data Doanh số'!$I:$I,"Thiết kế",'Data Doanh số'!$X:$X,$A$3,'Data Doanh số'!$Z:$Z,'BC tuần'!$B$3)</f>
        <v>0</v>
      </c>
      <c r="G11" s="143">
        <f>COUNTIFS('Data Doanh số'!$P:$P,'BC tuần'!$E11,'Data Doanh số'!$I:$I,"Thi công",'Data Doanh số'!$X:$X,$A$3,'Data Doanh số'!$Z:$Z,'BC tuần'!$B$3)</f>
        <v>0</v>
      </c>
      <c r="H11" s="171">
        <f>COUNTIFS(
'Data Doanh số'!$P:$P,'BC tuần'!$E11,
'Data Doanh số'!$I:$I,"&lt;&gt;Thi công",
'Data Doanh số'!$I:$I,"&lt;&gt;Thiết kế",
'Data Doanh số'!$X:$X,$A$3,'Data Doanh số'!$Z:$Z,'BC tuần'!$B$3
)</f>
        <v>0</v>
      </c>
      <c r="I11" s="133">
        <f>SUMIFS('Data Doanh số'!$J:$J,'Data Doanh số'!$P:$P,'BC tuần'!$E11,'Data Doanh số'!$X:$X,$A$3,'Data Doanh số'!$Z:$Z,'BC tuần'!$B$3)</f>
        <v>0</v>
      </c>
      <c r="J11" s="133">
        <f>COUNTIFS('HĐ Khung chuyển đổi TC'!$L:$L,'BC tuần'!$E11,'HĐ Khung chuyển đổi TC'!$T:$T,'BC tuần'!$A$3,'HĐ Khung chuyển đổi TC'!$V:$V,'BC tuần'!$B$3)</f>
        <v>0</v>
      </c>
      <c r="K11" s="133">
        <f>SUMIFS('HĐ Khung chuyển đổi TC'!$I:$I,'HĐ Khung chuyển đổi TC'!$L:$L,'BC tuần'!$E11,'HĐ Khung chuyển đổi TC'!$T:$T,'BC tuần'!$A$3,'HĐ Khung chuyển đổi TC'!$V:$V,'BC tuần'!$B$3)</f>
        <v>0</v>
      </c>
      <c r="L11" s="239">
        <f t="shared" si="1"/>
        <v>0</v>
      </c>
      <c r="M11" s="240">
        <f t="shared" si="2"/>
        <v>0</v>
      </c>
    </row>
    <row r="12" spans="1:13" x14ac:dyDescent="0.2">
      <c r="D12" s="135" t="s">
        <v>527</v>
      </c>
      <c r="E12" s="136" t="s">
        <v>403</v>
      </c>
      <c r="F12" s="142">
        <f t="shared" ref="F12:M12" si="3">SUBTOTAL(9,F13:F24)</f>
        <v>1</v>
      </c>
      <c r="G12" s="142">
        <f t="shared" si="3"/>
        <v>0</v>
      </c>
      <c r="H12" s="142">
        <f t="shared" si="3"/>
        <v>0</v>
      </c>
      <c r="I12" s="172">
        <f t="shared" si="3"/>
        <v>160950000</v>
      </c>
      <c r="J12" s="172">
        <f t="shared" si="3"/>
        <v>0</v>
      </c>
      <c r="K12" s="172">
        <f t="shared" si="3"/>
        <v>0</v>
      </c>
      <c r="L12" s="172">
        <f t="shared" si="3"/>
        <v>160950000</v>
      </c>
      <c r="M12" s="142">
        <f t="shared" si="3"/>
        <v>1</v>
      </c>
    </row>
    <row r="13" spans="1:13" ht="15" hidden="1" x14ac:dyDescent="0.2">
      <c r="D13" s="129">
        <v>1</v>
      </c>
      <c r="E13" s="132" t="s">
        <v>445</v>
      </c>
      <c r="F13" s="143">
        <f>COUNTIFS('Data Doanh số'!$P:$P,'BC tuần'!$E13,'Data Doanh số'!$I:$I,"Thiết kế",'Data Doanh số'!$X:$X,$A$3,'Data Doanh số'!$Z:$Z,'BC tuần'!$B$3)</f>
        <v>0</v>
      </c>
      <c r="G13" s="143">
        <f>COUNTIFS('Data Doanh số'!$P:$P,'BC tuần'!$E13,'Data Doanh số'!$I:$I,"Thi công",'Data Doanh số'!$X:$X,$A$3,'Data Doanh số'!$Z:$Z,'BC tuần'!$B$3)</f>
        <v>0</v>
      </c>
      <c r="H13" s="171">
        <f>COUNTIFS(
'Data Doanh số'!$P:$P,'BC tuần'!$E13,
'Data Doanh số'!$I:$I,"&lt;&gt;Thi công",
'Data Doanh số'!$I:$I,"&lt;&gt;Thiết kế",
'Data Doanh số'!$X:$X,$A$3,'Data Doanh số'!$Z:$Z,'BC tuần'!$B$3
)</f>
        <v>0</v>
      </c>
      <c r="I13" s="133">
        <f>SUMIFS('Data Doanh số'!$J:$J,'Data Doanh số'!$P:$P,'BC tuần'!$E13,'Data Doanh số'!$X:$X,$A$3,'Data Doanh số'!$Z:$Z,'BC tuần'!$B$3)</f>
        <v>0</v>
      </c>
      <c r="J13" s="133">
        <f>COUNTIFS('HĐ Khung chuyển đổi TC'!$L:$L,'BC tuần'!$E13,'HĐ Khung chuyển đổi TC'!$T:$T,'BC tuần'!$A$3,'HĐ Khung chuyển đổi TC'!$V:$V,'BC tuần'!$B$3)</f>
        <v>0</v>
      </c>
      <c r="K13" s="133">
        <f>SUMIFS('HĐ Khung chuyển đổi TC'!$I:$I,'HĐ Khung chuyển đổi TC'!$L:$L,'BC tuần'!$E13,'HĐ Khung chuyển đổi TC'!$T:$T,'BC tuần'!$A$3,'HĐ Khung chuyển đổi TC'!$V:$V,'BC tuần'!$B$3)</f>
        <v>0</v>
      </c>
      <c r="L13" s="239">
        <f>+I13+K13</f>
        <v>0</v>
      </c>
      <c r="M13" s="240">
        <f>+F13+G13+H13+J13</f>
        <v>0</v>
      </c>
    </row>
    <row r="14" spans="1:13" ht="15" hidden="1" x14ac:dyDescent="0.2">
      <c r="D14" s="129">
        <v>2</v>
      </c>
      <c r="E14" s="132" t="s">
        <v>153</v>
      </c>
      <c r="F14" s="143">
        <f>COUNTIFS('Data Doanh số'!$P:$P,'BC tuần'!$E14,'Data Doanh số'!$I:$I,"Thiết kế",'Data Doanh số'!$X:$X,$A$3,'Data Doanh số'!$Z:$Z,'BC tuần'!$B$3)</f>
        <v>0</v>
      </c>
      <c r="G14" s="143">
        <f>COUNTIFS('Data Doanh số'!$P:$P,'BC tuần'!$E14,'Data Doanh số'!$I:$I,"Thi công",'Data Doanh số'!$X:$X,$A$3,'Data Doanh số'!$Z:$Z,'BC tuần'!$B$3)</f>
        <v>0</v>
      </c>
      <c r="H14" s="171">
        <f>COUNTIFS(
'Data Doanh số'!$P:$P,'BC tuần'!$E14,
'Data Doanh số'!$I:$I,"&lt;&gt;Thi công",
'Data Doanh số'!$I:$I,"&lt;&gt;Thiết kế",
'Data Doanh số'!$X:$X,$A$3,'Data Doanh số'!$Z:$Z,'BC tuần'!$B$3
)</f>
        <v>0</v>
      </c>
      <c r="I14" s="133">
        <f>SUMIFS('Data Doanh số'!$J:$J,'Data Doanh số'!$P:$P,'BC tuần'!$E14,'Data Doanh số'!$X:$X,$A$3,'Data Doanh số'!$Z:$Z,'BC tuần'!$B$3)</f>
        <v>0</v>
      </c>
      <c r="J14" s="133">
        <f>COUNTIFS('HĐ Khung chuyển đổi TC'!$L:$L,'BC tuần'!$E14,'HĐ Khung chuyển đổi TC'!$T:$T,'BC tuần'!$A$3,'HĐ Khung chuyển đổi TC'!$V:$V,'BC tuần'!$B$3)</f>
        <v>0</v>
      </c>
      <c r="K14" s="133">
        <f>SUMIFS('HĐ Khung chuyển đổi TC'!$I:$I,'HĐ Khung chuyển đổi TC'!$L:$L,'BC tuần'!$E14,'HĐ Khung chuyển đổi TC'!$T:$T,'BC tuần'!$A$3,'HĐ Khung chuyển đổi TC'!$V:$V,'BC tuần'!$B$3)</f>
        <v>0</v>
      </c>
      <c r="L14" s="239">
        <f>+I14+K14</f>
        <v>0</v>
      </c>
      <c r="M14" s="240">
        <f>+F14+G14+H14+J14</f>
        <v>0</v>
      </c>
    </row>
    <row r="15" spans="1:13" ht="15" hidden="1" x14ac:dyDescent="0.2">
      <c r="D15" s="129">
        <v>3</v>
      </c>
      <c r="E15" s="132" t="s">
        <v>55</v>
      </c>
      <c r="F15" s="143">
        <f>COUNTIFS('Data Doanh số'!$P:$P,'BC tuần'!$E15,'Data Doanh số'!$I:$I,"Thiết kế",'Data Doanh số'!$X:$X,$A$3,'Data Doanh số'!$Z:$Z,'BC tuần'!$B$3)</f>
        <v>0</v>
      </c>
      <c r="G15" s="143">
        <f>COUNTIFS('Data Doanh số'!$P:$P,'BC tuần'!$E15,'Data Doanh số'!$I:$I,"Thi công",'Data Doanh số'!$X:$X,$A$3,'Data Doanh số'!$Z:$Z,'BC tuần'!$B$3)</f>
        <v>0</v>
      </c>
      <c r="H15" s="171">
        <f>COUNTIFS(
'Data Doanh số'!$P:$P,'BC tuần'!$E15,
'Data Doanh số'!$I:$I,"&lt;&gt;Thi công",
'Data Doanh số'!$I:$I,"&lt;&gt;Thiết kế",
'Data Doanh số'!$X:$X,$A$3,'Data Doanh số'!$Z:$Z,'BC tuần'!$B$3
)</f>
        <v>0</v>
      </c>
      <c r="I15" s="133">
        <f>SUMIFS('Data Doanh số'!$J:$J,'Data Doanh số'!$P:$P,'BC tuần'!$E15,'Data Doanh số'!$X:$X,$A$3,'Data Doanh số'!$Z:$Z,'BC tuần'!$B$3)</f>
        <v>0</v>
      </c>
      <c r="J15" s="133">
        <f>COUNTIFS('HĐ Khung chuyển đổi TC'!$L:$L,'BC tuần'!$E15,'HĐ Khung chuyển đổi TC'!$T:$T,'BC tuần'!$A$3,'HĐ Khung chuyển đổi TC'!$V:$V,'BC tuần'!$B$3)</f>
        <v>0</v>
      </c>
      <c r="K15" s="133">
        <f>SUMIFS('HĐ Khung chuyển đổi TC'!$I:$I,'HĐ Khung chuyển đổi TC'!$L:$L,'BC tuần'!$E15,'HĐ Khung chuyển đổi TC'!$T:$T,'BC tuần'!$A$3,'HĐ Khung chuyển đổi TC'!$V:$V,'BC tuần'!$B$3)</f>
        <v>0</v>
      </c>
      <c r="L15" s="239">
        <f>+I15+K15</f>
        <v>0</v>
      </c>
      <c r="M15" s="240">
        <f>+F15+G15+H15+J15</f>
        <v>0</v>
      </c>
    </row>
    <row r="16" spans="1:13" ht="15" x14ac:dyDescent="0.2">
      <c r="D16" s="129">
        <v>1</v>
      </c>
      <c r="E16" s="132" t="s">
        <v>312</v>
      </c>
      <c r="F16" s="143">
        <f>COUNTIFS('Data Doanh số'!$P:$P,'BC tuần'!$E16,'Data Doanh số'!$I:$I,"Thiết kế",'Data Doanh số'!$X:$X,$A$3,'Data Doanh số'!$Z:$Z,'BC tuần'!$B$3)</f>
        <v>1</v>
      </c>
      <c r="G16" s="143">
        <f>COUNTIFS('Data Doanh số'!$P:$P,'BC tuần'!$E16,'Data Doanh số'!$I:$I,"Thi công",'Data Doanh số'!$X:$X,$A$3,'Data Doanh số'!$Z:$Z,'BC tuần'!$B$3)</f>
        <v>0</v>
      </c>
      <c r="H16" s="171">
        <f>COUNTIFS(
'Data Doanh số'!$P:$P,'BC tuần'!$E16,
'Data Doanh số'!$I:$I,"&lt;&gt;Thi công",
'Data Doanh số'!$I:$I,"&lt;&gt;Thiết kế",
'Data Doanh số'!$X:$X,$A$3,'Data Doanh số'!$Z:$Z,'BC tuần'!$B$3
)</f>
        <v>0</v>
      </c>
      <c r="I16" s="133">
        <f>SUMIFS('Data Doanh số'!$J:$J,'Data Doanh số'!$P:$P,'BC tuần'!$E16,'Data Doanh số'!$X:$X,$A$3,'Data Doanh số'!$Z:$Z,'BC tuần'!$B$3)</f>
        <v>160950000</v>
      </c>
      <c r="J16" s="133">
        <f>COUNTIFS('HĐ Khung chuyển đổi TC'!$L:$L,'BC tuần'!$E16,'HĐ Khung chuyển đổi TC'!$T:$T,'BC tuần'!$A$3,'HĐ Khung chuyển đổi TC'!$V:$V,'BC tuần'!$B$3)</f>
        <v>0</v>
      </c>
      <c r="K16" s="133">
        <f>SUMIFS('HĐ Khung chuyển đổi TC'!$I:$I,'HĐ Khung chuyển đổi TC'!$L:$L,'BC tuần'!$E16,'HĐ Khung chuyển đổi TC'!$T:$T,'BC tuần'!$A$3,'HĐ Khung chuyển đổi TC'!$V:$V,'BC tuần'!$B$3)</f>
        <v>0</v>
      </c>
      <c r="L16" s="239">
        <f>+I16+K16</f>
        <v>160950000</v>
      </c>
      <c r="M16" s="240">
        <f>+F16+G16+H16+J16</f>
        <v>1</v>
      </c>
    </row>
    <row r="17" spans="1:13" ht="15" x14ac:dyDescent="0.2">
      <c r="D17" s="129">
        <v>2</v>
      </c>
      <c r="E17" s="132" t="s">
        <v>236</v>
      </c>
      <c r="F17" s="143">
        <f>COUNTIFS('Data Doanh số'!$P:$P,'BC tuần'!$E17,'Data Doanh số'!$I:$I,"Thiết kế",'Data Doanh số'!$X:$X,$A$3,'Data Doanh số'!$Z:$Z,'BC tuần'!$B$3)</f>
        <v>0</v>
      </c>
      <c r="G17" s="143">
        <f>COUNTIFS('Data Doanh số'!$P:$P,'BC tuần'!$E17,'Data Doanh số'!$I:$I,"Thi công",'Data Doanh số'!$X:$X,$A$3,'Data Doanh số'!$Z:$Z,'BC tuần'!$B$3)</f>
        <v>0</v>
      </c>
      <c r="H17" s="171">
        <f>COUNTIFS(
'Data Doanh số'!$P:$P,'BC tuần'!$E17,
'Data Doanh số'!$I:$I,"&lt;&gt;Thi công",
'Data Doanh số'!$I:$I,"&lt;&gt;Thiết kế",
'Data Doanh số'!$X:$X,$A$3,'Data Doanh số'!$Z:$Z,'BC tuần'!$B$3
)</f>
        <v>0</v>
      </c>
      <c r="I17" s="133">
        <f>SUMIFS('Data Doanh số'!$J:$J,'Data Doanh số'!$P:$P,'BC tuần'!$E17,'Data Doanh số'!$X:$X,$A$3,'Data Doanh số'!$Z:$Z,'BC tuần'!$B$3)</f>
        <v>0</v>
      </c>
      <c r="J17" s="133">
        <f>COUNTIFS('HĐ Khung chuyển đổi TC'!$L:$L,'BC tuần'!$E17,'HĐ Khung chuyển đổi TC'!$T:$T,'BC tuần'!$A$3,'HĐ Khung chuyển đổi TC'!$V:$V,'BC tuần'!$B$3)</f>
        <v>0</v>
      </c>
      <c r="K17" s="133">
        <f>SUMIFS('HĐ Khung chuyển đổi TC'!$I:$I,'HĐ Khung chuyển đổi TC'!$L:$L,'BC tuần'!$E17,'HĐ Khung chuyển đổi TC'!$T:$T,'BC tuần'!$A$3,'HĐ Khung chuyển đổi TC'!$V:$V,'BC tuần'!$B$3)</f>
        <v>0</v>
      </c>
      <c r="L17" s="239">
        <f>+I17+K17</f>
        <v>0</v>
      </c>
      <c r="M17" s="240">
        <f>+F17+G17+H17+J17</f>
        <v>0</v>
      </c>
    </row>
    <row r="18" spans="1:13" x14ac:dyDescent="0.2">
      <c r="D18" s="135" t="s">
        <v>528</v>
      </c>
      <c r="E18" s="136" t="s">
        <v>405</v>
      </c>
      <c r="F18" s="142">
        <f>SUBTOTAL(9,F19:F23)</f>
        <v>0</v>
      </c>
      <c r="G18" s="142">
        <f>SUBTOTAL(9,G19:G23)</f>
        <v>0</v>
      </c>
      <c r="H18" s="142">
        <f>SUBTOTAL(9,H19:H23)</f>
        <v>0</v>
      </c>
      <c r="I18" s="172">
        <f t="shared" ref="I18:M18" si="4">SUBTOTAL(9,I19:I23)</f>
        <v>0</v>
      </c>
      <c r="J18" s="172">
        <f t="shared" si="4"/>
        <v>0</v>
      </c>
      <c r="K18" s="172">
        <f t="shared" si="4"/>
        <v>0</v>
      </c>
      <c r="L18" s="172">
        <f t="shared" si="4"/>
        <v>0</v>
      </c>
      <c r="M18" s="142">
        <f t="shared" si="4"/>
        <v>0</v>
      </c>
    </row>
    <row r="19" spans="1:13" ht="15" x14ac:dyDescent="0.2">
      <c r="D19" s="129">
        <v>1</v>
      </c>
      <c r="E19" s="132" t="s">
        <v>210</v>
      </c>
      <c r="F19" s="143">
        <f>COUNTIFS('Data Doanh số'!$P:$P,'BC tuần'!$E19,'Data Doanh số'!$I:$I,"Thiết kế",'Data Doanh số'!$X:$X,$A$3,'Data Doanh số'!$Z:$Z,'BC tuần'!$B$3)</f>
        <v>0</v>
      </c>
      <c r="G19" s="143">
        <f>COUNTIFS('Data Doanh số'!$P:$P,'BC tuần'!$E19,'Data Doanh số'!$I:$I,"Thi công",'Data Doanh số'!$X:$X,$A$3,'Data Doanh số'!$Z:$Z,'BC tuần'!$B$3)</f>
        <v>0</v>
      </c>
      <c r="H19" s="171">
        <f>COUNTIFS(
'Data Doanh số'!$P:$P,'BC tuần'!$E19,
'Data Doanh số'!$I:$I,"&lt;&gt;Thi công",
'Data Doanh số'!$I:$I,"&lt;&gt;Thiết kế",
'Data Doanh số'!$X:$X,$A$3,'Data Doanh số'!$Z:$Z,'BC tuần'!$B$3
)</f>
        <v>0</v>
      </c>
      <c r="I19" s="133">
        <f>SUMIFS('Data Doanh số'!$J:$J,'Data Doanh số'!$P:$P,'BC tuần'!$E19,'Data Doanh số'!$X:$X,$A$3,'Data Doanh số'!$Z:$Z,'BC tuần'!$B$3)</f>
        <v>0</v>
      </c>
      <c r="J19" s="133">
        <f>COUNTIFS('HĐ Khung chuyển đổi TC'!$L:$L,'BC tuần'!$E19,'HĐ Khung chuyển đổi TC'!$T:$T,'BC tuần'!$A$3,'HĐ Khung chuyển đổi TC'!$V:$V,'BC tuần'!$B$3)</f>
        <v>0</v>
      </c>
      <c r="K19" s="133">
        <f>SUMIFS('HĐ Khung chuyển đổi TC'!$I:$I,'HĐ Khung chuyển đổi TC'!$L:$L,'BC tuần'!$E19,'HĐ Khung chuyển đổi TC'!$T:$T,'BC tuần'!$A$3,'HĐ Khung chuyển đổi TC'!$V:$V,'BC tuần'!$B$3)</f>
        <v>0</v>
      </c>
      <c r="L19" s="239">
        <f t="shared" ref="L19:L24" si="5">+I19+K19</f>
        <v>0</v>
      </c>
      <c r="M19" s="240">
        <f t="shared" ref="M19:M24" si="6">+F19+G19+H19+J19</f>
        <v>0</v>
      </c>
    </row>
    <row r="20" spans="1:13" ht="15" hidden="1" x14ac:dyDescent="0.2">
      <c r="D20" s="129">
        <v>2</v>
      </c>
      <c r="E20" s="132" t="s">
        <v>170</v>
      </c>
      <c r="F20" s="143">
        <f>COUNTIFS('Data Doanh số'!$P:$P,'BC tuần'!$E20,'Data Doanh số'!$I:$I,"Thiết kế",'Data Doanh số'!$X:$X,$A$3,'Data Doanh số'!$Z:$Z,'BC tuần'!$B$3)</f>
        <v>0</v>
      </c>
      <c r="G20" s="143">
        <f>COUNTIFS('Data Doanh số'!$P:$P,'BC tuần'!$E20,'Data Doanh số'!$I:$I,"Thi công",'Data Doanh số'!$X:$X,$A$3,'Data Doanh số'!$Z:$Z,'BC tuần'!$B$3)</f>
        <v>0</v>
      </c>
      <c r="H20" s="171">
        <f>COUNTIFS(
'Data Doanh số'!$P:$P,'BC tuần'!$E20,
'Data Doanh số'!$I:$I,"&lt;&gt;Thi công",
'Data Doanh số'!$I:$I,"&lt;&gt;Thiết kế",
'Data Doanh số'!$X:$X,$A$3,'Data Doanh số'!$Z:$Z,'BC tuần'!$B$3
)</f>
        <v>0</v>
      </c>
      <c r="I20" s="133">
        <f>SUMIFS('Data Doanh số'!$J:$J,'Data Doanh số'!$P:$P,'BC tuần'!$E20,'Data Doanh số'!$X:$X,$A$3,'Data Doanh số'!$Z:$Z,'BC tuần'!$B$3)</f>
        <v>0</v>
      </c>
      <c r="J20" s="133">
        <f>COUNTIFS('HĐ Khung chuyển đổi TC'!$L:$L,'BC tuần'!$E20,'HĐ Khung chuyển đổi TC'!$T:$T,'BC tuần'!$A$3,'HĐ Khung chuyển đổi TC'!$V:$V,'BC tuần'!$B$3)</f>
        <v>0</v>
      </c>
      <c r="K20" s="133">
        <f>SUMIFS('HĐ Khung chuyển đổi TC'!$I:$I,'HĐ Khung chuyển đổi TC'!$L:$L,'BC tuần'!$E20,'HĐ Khung chuyển đổi TC'!$T:$T,'BC tuần'!$A$3,'HĐ Khung chuyển đổi TC'!$V:$V,'BC tuần'!$B$3)</f>
        <v>0</v>
      </c>
      <c r="L20" s="239">
        <f t="shared" si="5"/>
        <v>0</v>
      </c>
      <c r="M20" s="240">
        <f t="shared" si="6"/>
        <v>0</v>
      </c>
    </row>
    <row r="21" spans="1:13" ht="15" x14ac:dyDescent="0.2">
      <c r="D21" s="129">
        <v>2</v>
      </c>
      <c r="E21" s="132" t="s">
        <v>63</v>
      </c>
      <c r="F21" s="143">
        <f>COUNTIFS('Data Doanh số'!$P:$P,'BC tuần'!$E21,'Data Doanh số'!$I:$I,"Thiết kế",'Data Doanh số'!$X:$X,$A$3,'Data Doanh số'!$Z:$Z,'BC tuần'!$B$3)</f>
        <v>0</v>
      </c>
      <c r="G21" s="143">
        <f>COUNTIFS('Data Doanh số'!$P:$P,'BC tuần'!$E21,'Data Doanh số'!$I:$I,"Thi công",'Data Doanh số'!$X:$X,$A$3,'Data Doanh số'!$Z:$Z,'BC tuần'!$B$3)</f>
        <v>0</v>
      </c>
      <c r="H21" s="171">
        <f>COUNTIFS(
'Data Doanh số'!$P:$P,'BC tuần'!$E21,
'Data Doanh số'!$I:$I,"&lt;&gt;Thi công",
'Data Doanh số'!$I:$I,"&lt;&gt;Thiết kế",
'Data Doanh số'!$X:$X,$A$3,'Data Doanh số'!$Z:$Z,'BC tuần'!$B$3
)</f>
        <v>0</v>
      </c>
      <c r="I21" s="133">
        <f>SUMIFS('Data Doanh số'!$J:$J,'Data Doanh số'!$P:$P,'BC tuần'!$E21,'Data Doanh số'!$X:$X,$A$3,'Data Doanh số'!$Z:$Z,'BC tuần'!$B$3)</f>
        <v>0</v>
      </c>
      <c r="J21" s="133">
        <f>COUNTIFS('HĐ Khung chuyển đổi TC'!$L:$L,'BC tuần'!$E21,'HĐ Khung chuyển đổi TC'!$T:$T,'BC tuần'!$A$3,'HĐ Khung chuyển đổi TC'!$V:$V,'BC tuần'!$B$3)</f>
        <v>0</v>
      </c>
      <c r="K21" s="133">
        <f>SUMIFS('HĐ Khung chuyển đổi TC'!$I:$I,'HĐ Khung chuyển đổi TC'!$L:$L,'BC tuần'!$E21,'HĐ Khung chuyển đổi TC'!$T:$T,'BC tuần'!$A$3,'HĐ Khung chuyển đổi TC'!$V:$V,'BC tuần'!$B$3)</f>
        <v>0</v>
      </c>
      <c r="L21" s="239">
        <f t="shared" si="5"/>
        <v>0</v>
      </c>
      <c r="M21" s="240">
        <f t="shared" si="6"/>
        <v>0</v>
      </c>
    </row>
    <row r="22" spans="1:13" ht="15" hidden="1" x14ac:dyDescent="0.2">
      <c r="D22" s="129">
        <v>4</v>
      </c>
      <c r="E22" s="132" t="s">
        <v>59</v>
      </c>
      <c r="F22" s="143">
        <f>COUNTIFS('Data Doanh số'!$P:$P,'BC tuần'!$E22,'Data Doanh số'!$I:$I,"Thiết kế",'Data Doanh số'!$X:$X,$A$3,'Data Doanh số'!$Z:$Z,'BC tuần'!$B$3)</f>
        <v>0</v>
      </c>
      <c r="G22" s="143">
        <f>COUNTIFS('Data Doanh số'!$P:$P,'BC tuần'!$E22,'Data Doanh số'!$I:$I,"Thi công",'Data Doanh số'!$X:$X,$A$3,'Data Doanh số'!$Z:$Z,'BC tuần'!$B$3)</f>
        <v>0</v>
      </c>
      <c r="H22" s="171">
        <f>COUNTIFS(
'Data Doanh số'!$P:$P,'BC tuần'!$E22,
'Data Doanh số'!$I:$I,"&lt;&gt;Thi công",
'Data Doanh số'!$I:$I,"&lt;&gt;Thiết kế",
'Data Doanh số'!$X:$X,$A$3,'Data Doanh số'!$Z:$Z,'BC tuần'!$B$3
)</f>
        <v>0</v>
      </c>
      <c r="I22" s="133">
        <f>SUMIFS('Data Doanh số'!$J:$J,'Data Doanh số'!$P:$P,'BC tuần'!$E22,'Data Doanh số'!$X:$X,$A$3,'Data Doanh số'!$Z:$Z,'BC tuần'!$B$3)</f>
        <v>0</v>
      </c>
      <c r="J22" s="133">
        <f>COUNTIFS('HĐ Khung chuyển đổi TC'!$L:$L,'BC tuần'!$E22,'HĐ Khung chuyển đổi TC'!$T:$T,'BC tuần'!$A$3,'HĐ Khung chuyển đổi TC'!$V:$V,'BC tuần'!$B$3)</f>
        <v>0</v>
      </c>
      <c r="K22" s="133">
        <f>SUMIFS('HĐ Khung chuyển đổi TC'!$I:$I,'HĐ Khung chuyển đổi TC'!$L:$L,'BC tuần'!$E22,'HĐ Khung chuyển đổi TC'!$T:$T,'BC tuần'!$A$3,'HĐ Khung chuyển đổi TC'!$V:$V,'BC tuần'!$B$3)</f>
        <v>0</v>
      </c>
      <c r="L22" s="239">
        <f t="shared" si="5"/>
        <v>0</v>
      </c>
      <c r="M22" s="240">
        <f t="shared" si="6"/>
        <v>0</v>
      </c>
    </row>
    <row r="23" spans="1:13" ht="15" hidden="1" x14ac:dyDescent="0.2">
      <c r="D23" s="129">
        <v>3</v>
      </c>
      <c r="E23" s="132" t="s">
        <v>257</v>
      </c>
      <c r="F23" s="143">
        <f>COUNTIFS('Data Doanh số'!$P:$P,'BC tuần'!$E23,'Data Doanh số'!$I:$I,"Thiết kế",'Data Doanh số'!$X:$X,$A$3,'Data Doanh số'!$Z:$Z,'BC tuần'!$B$3)</f>
        <v>0</v>
      </c>
      <c r="G23" s="143">
        <f>COUNTIFS('Data Doanh số'!$P:$P,'BC tuần'!$E23,'Data Doanh số'!$I:$I,"Thi công",'Data Doanh số'!$X:$X,$A$3,'Data Doanh số'!$Z:$Z,'BC tuần'!$B$3)</f>
        <v>0</v>
      </c>
      <c r="H23" s="171">
        <f>COUNTIFS(
'Data Doanh số'!$P:$P,'BC tuần'!$E23,
'Data Doanh số'!$I:$I,"&lt;&gt;Thi công",
'Data Doanh số'!$I:$I,"&lt;&gt;Thiết kế",
'Data Doanh số'!$X:$X,$A$3,'Data Doanh số'!$Z:$Z,'BC tuần'!$B$3
)</f>
        <v>0</v>
      </c>
      <c r="I23" s="133">
        <f>SUMIFS('Data Doanh số'!$J:$J,'Data Doanh số'!$P:$P,'BC tuần'!$E23,'Data Doanh số'!$X:$X,$A$3,'Data Doanh số'!$Z:$Z,'BC tuần'!$B$3)</f>
        <v>0</v>
      </c>
      <c r="J23" s="133">
        <f>COUNTIFS('HĐ Khung chuyển đổi TC'!$L:$L,'BC tuần'!$E23,'HĐ Khung chuyển đổi TC'!$T:$T,'BC tuần'!$A$3,'HĐ Khung chuyển đổi TC'!$V:$V,'BC tuần'!$B$3)</f>
        <v>0</v>
      </c>
      <c r="K23" s="133">
        <f>SUMIFS('HĐ Khung chuyển đổi TC'!$I:$I,'HĐ Khung chuyển đổi TC'!$L:$L,'BC tuần'!$E23,'HĐ Khung chuyển đổi TC'!$T:$T,'BC tuần'!$A$3,'HĐ Khung chuyển đổi TC'!$V:$V,'BC tuần'!$B$3)</f>
        <v>0</v>
      </c>
      <c r="L23" s="239">
        <f t="shared" si="5"/>
        <v>0</v>
      </c>
      <c r="M23" s="240">
        <f t="shared" si="6"/>
        <v>0</v>
      </c>
    </row>
    <row r="24" spans="1:13" ht="15" x14ac:dyDescent="0.2">
      <c r="D24" s="129">
        <v>3</v>
      </c>
      <c r="E24" s="132" t="s">
        <v>529</v>
      </c>
      <c r="F24" s="143">
        <f>COUNTIFS('Data Doanh số'!$P:$P,'BC tuần'!$E24,'Data Doanh số'!$I:$I,"Thiết kế",'Data Doanh số'!$X:$X,$A$3,'Data Doanh số'!$Z:$Z,'BC tuần'!$B$3)</f>
        <v>0</v>
      </c>
      <c r="G24" s="143">
        <f>COUNTIFS('Data Doanh số'!$P:$P,'BC tuần'!$E24,'Data Doanh số'!$I:$I,"Thi công",'Data Doanh số'!$X:$X,$A$3,'Data Doanh số'!$Z:$Z,'BC tuần'!$B$3)</f>
        <v>0</v>
      </c>
      <c r="H24" s="171">
        <f>COUNTIFS(
'Data Doanh số'!$P:$P,'BC tuần'!$E24,
'Data Doanh số'!$I:$I,"&lt;&gt;Thi công",
'Data Doanh số'!$I:$I,"&lt;&gt;Thiết kế",
'Data Doanh số'!$X:$X,$A$3,'Data Doanh số'!$Z:$Z,'BC tuần'!$B$3
)</f>
        <v>0</v>
      </c>
      <c r="I24" s="133">
        <f>SUMIFS('Data Doanh số'!$J:$J,'Data Doanh số'!$P:$P,'BC tuần'!$E24,'Data Doanh số'!$X:$X,$A$3,'Data Doanh số'!$Z:$Z,'BC tuần'!$B$3)</f>
        <v>0</v>
      </c>
      <c r="J24" s="133">
        <f>COUNTIFS('HĐ Khung chuyển đổi TC'!$L:$L,'BC tuần'!$E24,'HĐ Khung chuyển đổi TC'!$T:$T,'BC tuần'!$A$3,'HĐ Khung chuyển đổi TC'!$V:$V,'BC tuần'!$B$3)</f>
        <v>0</v>
      </c>
      <c r="K24" s="133">
        <f>SUMIFS('HĐ Khung chuyển đổi TC'!$I:$I,'HĐ Khung chuyển đổi TC'!$L:$L,'BC tuần'!$E24,'HĐ Khung chuyển đổi TC'!$T:$T,'BC tuần'!$A$3,'HĐ Khung chuyển đổi TC'!$V:$V,'BC tuần'!$B$3)</f>
        <v>0</v>
      </c>
      <c r="L24" s="239">
        <f t="shared" si="5"/>
        <v>0</v>
      </c>
      <c r="M24" s="240">
        <f t="shared" si="6"/>
        <v>0</v>
      </c>
    </row>
    <row r="25" spans="1:13" x14ac:dyDescent="0.2">
      <c r="D25" s="135" t="s">
        <v>530</v>
      </c>
      <c r="E25" s="136" t="s">
        <v>442</v>
      </c>
      <c r="F25" s="172">
        <f>SUBTOTAL(9,F26:F28)</f>
        <v>0</v>
      </c>
      <c r="G25" s="172">
        <f t="shared" ref="G25:M25" si="7">SUBTOTAL(9,G26:G28)</f>
        <v>0</v>
      </c>
      <c r="H25" s="172">
        <f t="shared" si="7"/>
        <v>0</v>
      </c>
      <c r="I25" s="172">
        <f t="shared" si="7"/>
        <v>0</v>
      </c>
      <c r="J25" s="172">
        <f t="shared" si="7"/>
        <v>0</v>
      </c>
      <c r="K25" s="172">
        <f t="shared" si="7"/>
        <v>0</v>
      </c>
      <c r="L25" s="172">
        <f t="shared" si="7"/>
        <v>0</v>
      </c>
      <c r="M25" s="172">
        <f t="shared" si="7"/>
        <v>0</v>
      </c>
    </row>
    <row r="26" spans="1:13" ht="15" x14ac:dyDescent="0.2">
      <c r="D26" s="129">
        <v>1</v>
      </c>
      <c r="E26" s="132" t="s">
        <v>80</v>
      </c>
      <c r="F26" s="143">
        <f>COUNTIFS('Data Doanh số'!$P:$P,'BC tuần'!$E26,'Data Doanh số'!$I:$I,"Thiết kế",'Data Doanh số'!$X:$X,$A$3,'Data Doanh số'!$Z:$Z,'BC tuần'!$B$3)</f>
        <v>0</v>
      </c>
      <c r="G26" s="143">
        <f>COUNTIFS('Data Doanh số'!$P:$P,'BC tuần'!$E26,'Data Doanh số'!$I:$I,"Thi công",'Data Doanh số'!$X:$X,$A$3,'Data Doanh số'!$Z:$Z,'BC tuần'!$B$3)</f>
        <v>0</v>
      </c>
      <c r="H26" s="171">
        <f>COUNTIFS(
'Data Doanh số'!$P:$P,'BC tuần'!$E26,
'Data Doanh số'!$I:$I,"&lt;&gt;Thi công",
'Data Doanh số'!$I:$I,"&lt;&gt;Thiết kế",
'Data Doanh số'!$X:$X,$A$3,'Data Doanh số'!$Z:$Z,'BC tuần'!$B$3
)</f>
        <v>0</v>
      </c>
      <c r="I26" s="133">
        <f>SUMIFS('Data Doanh số'!$J:$J,'Data Doanh số'!$P:$P,'BC tuần'!$E26,'Data Doanh số'!$X:$X,$A$3,'Data Doanh số'!$Z:$Z,'BC tuần'!$B$3)</f>
        <v>0</v>
      </c>
      <c r="J26" s="133">
        <f>COUNTIFS('HĐ Khung chuyển đổi TC'!$L:$L,'BC tuần'!$E26,'HĐ Khung chuyển đổi TC'!$T:$T,'BC tuần'!$A$3,'HĐ Khung chuyển đổi TC'!$V:$V,'BC tuần'!$B$3)</f>
        <v>0</v>
      </c>
      <c r="K26" s="133">
        <f>SUMIFS('HĐ Khung chuyển đổi TC'!$I:$I,'HĐ Khung chuyển đổi TC'!$L:$L,'BC tuần'!$E26,'HĐ Khung chuyển đổi TC'!$T:$T,'BC tuần'!$A$3,'HĐ Khung chuyển đổi TC'!$V:$V,'BC tuần'!$B$3)</f>
        <v>0</v>
      </c>
      <c r="L26" s="239">
        <f>+I26+K26</f>
        <v>0</v>
      </c>
      <c r="M26" s="240">
        <f>+F26+G26+H26+J26</f>
        <v>0</v>
      </c>
    </row>
    <row r="27" spans="1:13" ht="15" x14ac:dyDescent="0.2">
      <c r="D27" s="129">
        <v>2</v>
      </c>
      <c r="E27" s="132" t="s">
        <v>226</v>
      </c>
      <c r="F27" s="143">
        <f>COUNTIFS('Data Doanh số'!$P:$P,'BC tuần'!$E27,'Data Doanh số'!$I:$I,"Thiết kế",'Data Doanh số'!$X:$X,$A$3,'Data Doanh số'!$Z:$Z,'BC tuần'!$B$3)</f>
        <v>0</v>
      </c>
      <c r="G27" s="143">
        <f>COUNTIFS('Data Doanh số'!$P:$P,'BC tuần'!$E27,'Data Doanh số'!$I:$I,"Thi công",'Data Doanh số'!$X:$X,$A$3,'Data Doanh số'!$Z:$Z,'BC tuần'!$B$3)</f>
        <v>0</v>
      </c>
      <c r="H27" s="171">
        <f>COUNTIFS(
'Data Doanh số'!$P:$P,'BC tuần'!$E27,
'Data Doanh số'!$I:$I,"&lt;&gt;Thi công",
'Data Doanh số'!$I:$I,"&lt;&gt;Thiết kế",
'Data Doanh số'!$X:$X,$A$3,'Data Doanh số'!$Z:$Z,'BC tuần'!$B$3
)</f>
        <v>0</v>
      </c>
      <c r="I27" s="133">
        <f>SUMIFS('Data Doanh số'!$J:$J,'Data Doanh số'!$P:$P,'BC tuần'!$E27,'Data Doanh số'!$X:$X,$A$3,'Data Doanh số'!$Z:$Z,'BC tuần'!$B$3)</f>
        <v>0</v>
      </c>
      <c r="J27" s="133">
        <f>COUNTIFS('HĐ Khung chuyển đổi TC'!$L:$L,'BC tuần'!$E27,'HĐ Khung chuyển đổi TC'!$T:$T,'BC tuần'!$A$3,'HĐ Khung chuyển đổi TC'!$V:$V,'BC tuần'!$B$3)</f>
        <v>0</v>
      </c>
      <c r="K27" s="133">
        <f>SUMIFS('HĐ Khung chuyển đổi TC'!$I:$I,'HĐ Khung chuyển đổi TC'!$L:$L,'BC tuần'!$E27,'HĐ Khung chuyển đổi TC'!$T:$T,'BC tuần'!$A$3,'HĐ Khung chuyển đổi TC'!$V:$V,'BC tuần'!$B$3)</f>
        <v>0</v>
      </c>
      <c r="L27" s="239">
        <f>+I27+K27</f>
        <v>0</v>
      </c>
      <c r="M27" s="240">
        <f>+F27+G27+H27+J27</f>
        <v>0</v>
      </c>
    </row>
    <row r="28" spans="1:13" ht="15" x14ac:dyDescent="0.2">
      <c r="D28" s="129">
        <v>3</v>
      </c>
      <c r="E28" s="132" t="s">
        <v>531</v>
      </c>
      <c r="F28" s="143">
        <f>COUNTIFS('Data Doanh số'!$P:$P,'BC tuần'!$E28,'Data Doanh số'!$I:$I,"Thiết kế",'Data Doanh số'!$X:$X,$A$3,'Data Doanh số'!$Z:$Z,'BC tuần'!$B$3)</f>
        <v>0</v>
      </c>
      <c r="G28" s="143">
        <f>COUNTIFS('Data Doanh số'!$P:$P,'BC tuần'!$E28,'Data Doanh số'!$I:$I,"Thi công",'Data Doanh số'!$X:$X,$A$3,'Data Doanh số'!$Z:$Z,'BC tuần'!$B$3)</f>
        <v>0</v>
      </c>
      <c r="H28" s="171">
        <f>COUNTIFS(
'Data Doanh số'!$P:$P,'BC tuần'!$E28,
'Data Doanh số'!$I:$I,"&lt;&gt;Thi công",
'Data Doanh số'!$I:$I,"&lt;&gt;Thiết kế",
'Data Doanh số'!$X:$X,$A$3,'Data Doanh số'!$Z:$Z,'BC tuần'!$B$3
)</f>
        <v>0</v>
      </c>
      <c r="I28" s="133">
        <f>SUMIFS('Data Doanh số'!$J:$J,'Data Doanh số'!$P:$P,'BC tuần'!$E28,'Data Doanh số'!$X:$X,$A$3,'Data Doanh số'!$Z:$Z,'BC tuần'!$B$3)</f>
        <v>0</v>
      </c>
      <c r="J28" s="133">
        <f>COUNTIFS('HĐ Khung chuyển đổi TC'!$L:$L,'BC tuần'!$E28,'HĐ Khung chuyển đổi TC'!$T:$T,'BC tuần'!$A$3,'HĐ Khung chuyển đổi TC'!$V:$V,'BC tuần'!$B$3)</f>
        <v>0</v>
      </c>
      <c r="K28" s="133">
        <f>SUMIFS('HĐ Khung chuyển đổi TC'!$I:$I,'HĐ Khung chuyển đổi TC'!$L:$L,'BC tuần'!$E28,'HĐ Khung chuyển đổi TC'!$T:$T,'BC tuần'!$A$3,'HĐ Khung chuyển đổi TC'!$V:$V,'BC tuần'!$B$3)</f>
        <v>0</v>
      </c>
      <c r="L28" s="239">
        <f>+I28+K28</f>
        <v>0</v>
      </c>
      <c r="M28" s="240">
        <f>+F28+G28+H28+J28</f>
        <v>0</v>
      </c>
    </row>
    <row r="29" spans="1:13" x14ac:dyDescent="0.2">
      <c r="D29" s="135" t="s">
        <v>532</v>
      </c>
      <c r="E29" s="136" t="s">
        <v>117</v>
      </c>
      <c r="F29" s="142">
        <f>SUBTOTAL(9,F30)</f>
        <v>0</v>
      </c>
      <c r="G29" s="142">
        <f>SUBTOTAL(9,G30)</f>
        <v>0</v>
      </c>
      <c r="H29" s="142">
        <f>SUBTOTAL(9,H30)</f>
        <v>11</v>
      </c>
      <c r="I29" s="172">
        <f t="shared" ref="I29:M29" si="8">SUBTOTAL(9,I30)</f>
        <v>0</v>
      </c>
      <c r="J29" s="172">
        <f t="shared" si="8"/>
        <v>0</v>
      </c>
      <c r="K29" s="172">
        <f t="shared" si="8"/>
        <v>0</v>
      </c>
      <c r="L29" s="172">
        <f t="shared" si="8"/>
        <v>0</v>
      </c>
      <c r="M29" s="142">
        <f t="shared" si="8"/>
        <v>11</v>
      </c>
    </row>
    <row r="30" spans="1:13" ht="15" x14ac:dyDescent="0.2">
      <c r="D30" s="129">
        <v>1</v>
      </c>
      <c r="E30" s="132" t="s">
        <v>467</v>
      </c>
      <c r="F30" s="143">
        <f>COUNTIFS('Data Doanh số'!$P:$P,'BC tuần'!$E30,'Data Doanh số'!$I:$I,"Thiết kế",'Data Doanh số'!$X:$X,$A$3,'Data Doanh số'!$Z:$Z,'BC tuần'!$B$3)</f>
        <v>0</v>
      </c>
      <c r="G30" s="143">
        <f>COUNTIFS('Data Doanh số'!$P:$P,'BC tuần'!$E30,'Data Doanh số'!$I:$I,"Thi công",'Data Doanh số'!$X:$X,$A$3,'Data Doanh số'!$Z:$Z,'BC tuần'!$B$3)</f>
        <v>0</v>
      </c>
      <c r="H30" s="171">
        <v>11</v>
      </c>
      <c r="I30" s="133">
        <f>SUMIFS('Data Doanh số'!$J:$J,'Data Doanh số'!$P:$P,'BC tuần'!$E30,'Data Doanh số'!$X:$X,$A$3,'Data Doanh số'!$Z:$Z,'BC tuần'!$B$3)</f>
        <v>0</v>
      </c>
      <c r="J30" s="133">
        <f>COUNTIFS('HĐ Khung chuyển đổi TC'!$L:$L,'BC tuần'!$E30,'HĐ Khung chuyển đổi TC'!$T:$T,'BC tuần'!$A$3,'HĐ Khung chuyển đổi TC'!$V:$V,'BC tuần'!$B$3)</f>
        <v>0</v>
      </c>
      <c r="K30" s="133">
        <f>SUMIFS('HĐ Khung chuyển đổi TC'!$I:$I,'HĐ Khung chuyển đổi TC'!$L:$L,'BC tuần'!$E30,'HĐ Khung chuyển đổi TC'!$T:$T,'BC tuần'!$A$3,'HĐ Khung chuyển đổi TC'!$V:$V,'BC tuần'!$B$3)</f>
        <v>0</v>
      </c>
      <c r="L30" s="239">
        <f>+I30+K30</f>
        <v>0</v>
      </c>
      <c r="M30" s="240">
        <f>+F30+G30+H30+J30</f>
        <v>11</v>
      </c>
    </row>
    <row r="31" spans="1:13" ht="15" x14ac:dyDescent="0.2">
      <c r="A31" s="243"/>
      <c r="D31" s="360" t="s">
        <v>447</v>
      </c>
      <c r="E31" s="360"/>
      <c r="F31" s="144">
        <f t="shared" ref="F31:M31" si="9">SUBTOTAL(9,F4:F30)</f>
        <v>3</v>
      </c>
      <c r="G31" s="144">
        <f t="shared" si="9"/>
        <v>1</v>
      </c>
      <c r="H31" s="144">
        <f t="shared" si="9"/>
        <v>11</v>
      </c>
      <c r="I31" s="141">
        <f t="shared" si="9"/>
        <v>229820370.22222221</v>
      </c>
      <c r="J31" s="141">
        <f t="shared" si="9"/>
        <v>0</v>
      </c>
      <c r="K31" s="141">
        <f t="shared" si="9"/>
        <v>0</v>
      </c>
      <c r="L31" s="141">
        <f t="shared" si="9"/>
        <v>229820370.22222221</v>
      </c>
      <c r="M31" s="141">
        <f t="shared" si="9"/>
        <v>15</v>
      </c>
    </row>
    <row r="33" spans="1:13" ht="15" x14ac:dyDescent="0.2">
      <c r="A33" s="243"/>
    </row>
    <row r="34" spans="1:13" ht="15" x14ac:dyDescent="0.2">
      <c r="A34" s="243" t="s">
        <v>498</v>
      </c>
    </row>
    <row r="35" spans="1:13" ht="51.75" customHeight="1" x14ac:dyDescent="0.2">
      <c r="A35" s="238">
        <v>5</v>
      </c>
      <c r="D35" s="178" t="s">
        <v>0</v>
      </c>
      <c r="E35" s="178" t="s">
        <v>509</v>
      </c>
      <c r="F35" s="179" t="s">
        <v>510</v>
      </c>
      <c r="G35" s="179" t="s">
        <v>511</v>
      </c>
      <c r="H35" s="179" t="s">
        <v>512</v>
      </c>
      <c r="I35" s="178" t="s">
        <v>513</v>
      </c>
      <c r="J35" s="179" t="s">
        <v>533</v>
      </c>
      <c r="K35" s="179" t="s">
        <v>515</v>
      </c>
      <c r="L35" s="179" t="s">
        <v>516</v>
      </c>
      <c r="M35" s="179" t="s">
        <v>534</v>
      </c>
    </row>
    <row r="36" spans="1:13" x14ac:dyDescent="0.2">
      <c r="D36" s="128"/>
      <c r="E36" s="128"/>
      <c r="F36" s="140" t="s">
        <v>518</v>
      </c>
      <c r="G36" s="140" t="s">
        <v>519</v>
      </c>
      <c r="H36" s="128" t="s">
        <v>520</v>
      </c>
      <c r="I36" s="128" t="s">
        <v>521</v>
      </c>
      <c r="J36" s="140" t="s">
        <v>522</v>
      </c>
      <c r="K36" s="140" t="s">
        <v>523</v>
      </c>
      <c r="L36" s="140" t="s">
        <v>524</v>
      </c>
      <c r="M36" s="140" t="s">
        <v>535</v>
      </c>
    </row>
    <row r="37" spans="1:13" x14ac:dyDescent="0.2">
      <c r="D37" s="135" t="s">
        <v>526</v>
      </c>
      <c r="E37" s="136" t="s">
        <v>402</v>
      </c>
      <c r="F37" s="139">
        <f t="shared" ref="F37:M37" si="10">SUBTOTAL(9,F38:F44)</f>
        <v>4</v>
      </c>
      <c r="G37" s="142">
        <f t="shared" si="10"/>
        <v>8</v>
      </c>
      <c r="H37" s="139">
        <f t="shared" si="10"/>
        <v>1</v>
      </c>
      <c r="I37" s="139">
        <f t="shared" si="10"/>
        <v>1123759670.7370372</v>
      </c>
      <c r="J37" s="139">
        <f t="shared" si="10"/>
        <v>0</v>
      </c>
      <c r="K37" s="139">
        <f t="shared" si="10"/>
        <v>0</v>
      </c>
      <c r="L37" s="139">
        <f t="shared" si="10"/>
        <v>1123759670.7370372</v>
      </c>
      <c r="M37" s="139">
        <f t="shared" si="10"/>
        <v>13</v>
      </c>
    </row>
    <row r="38" spans="1:13" ht="18.75" customHeight="1" x14ac:dyDescent="0.2">
      <c r="D38" s="129">
        <v>1</v>
      </c>
      <c r="E38" s="132" t="s">
        <v>113</v>
      </c>
      <c r="F38" s="143">
        <f>COUNTIFS('Data Doanh số'!$P:$P,'BC tuần'!$E38,'Data Doanh số'!$I:$I,"Thiết kế",'Data Doanh số'!$X:$X,$A$35)</f>
        <v>1</v>
      </c>
      <c r="G38" s="143">
        <f>COUNTIFS('Data Doanh số'!$P:$P,'BC tuần'!$E38,'Data Doanh số'!$I:$I,"Thi công",'Data Doanh số'!$X:$X,$A$35)</f>
        <v>1</v>
      </c>
      <c r="H38" s="171">
        <f>COUNTIFS(
'Data Doanh số'!$P:$P,'BC tuần'!$E38,
'Data Doanh số'!$I:$I,"&lt;&gt;Thi công",
'Data Doanh số'!$I:$I,"&lt;&gt;Thiết kế",
'Data Doanh số'!$X:$X,$A$35)</f>
        <v>0</v>
      </c>
      <c r="I38" s="133">
        <f>SUMIFS('Data Doanh số'!$J:$J,'Data Doanh số'!$P:$P,'BC tuần'!$E38,'Data Doanh số'!$X:$X,$A$35)</f>
        <v>59907407.222222224</v>
      </c>
      <c r="J38" s="133">
        <f>COUNTIFS('HĐ Khung chuyển đổi TC'!$L:$L,'BC tuần'!$E38,'HĐ Khung chuyển đổi TC'!$T:$T,'BC tuần'!$A$35)</f>
        <v>0</v>
      </c>
      <c r="K38" s="133">
        <f>SUMIFS('HĐ Khung chuyển đổi TC'!$I:$I,'HĐ Khung chuyển đổi TC'!$L:$L,'BC tuần'!$E38,'HĐ Khung chuyển đổi TC'!$T:$T,'BC tuần'!$A$35)</f>
        <v>0</v>
      </c>
      <c r="L38" s="239">
        <f t="shared" ref="L38:L44" si="11">+I38+K38</f>
        <v>59907407.222222224</v>
      </c>
      <c r="M38" s="240">
        <f t="shared" ref="M38:M44" si="12">+F38+G38+H38+J38</f>
        <v>2</v>
      </c>
    </row>
    <row r="39" spans="1:13" ht="18.75" hidden="1" customHeight="1" x14ac:dyDescent="0.2">
      <c r="D39" s="129">
        <v>1</v>
      </c>
      <c r="E39" s="132" t="s">
        <v>71</v>
      </c>
      <c r="F39" s="143">
        <f>COUNTIFS('Data Doanh số'!$P:$P,'BC tuần'!$E39,'Data Doanh số'!$I:$I,"Thiết kế",'Data Doanh số'!$X:$X,$A$35)</f>
        <v>0</v>
      </c>
      <c r="G39" s="143">
        <f>COUNTIFS('Data Doanh số'!$P:$P,'BC tuần'!$E39,'Data Doanh số'!$I:$I,"Thi công",'Data Doanh số'!$X:$X,$A$35)</f>
        <v>1</v>
      </c>
      <c r="H39" s="171">
        <f>COUNTIFS(
'Data Doanh số'!$P:$P,'BC tuần'!$E39,
'Data Doanh số'!$I:$I,"&lt;&gt;Thi công",
'Data Doanh số'!$I:$I,"&lt;&gt;Thiết kế",
'Data Doanh số'!$X:$X,$A$35)</f>
        <v>0</v>
      </c>
      <c r="I39" s="133">
        <f>SUMIFS('Data Doanh số'!$J:$J,'Data Doanh số'!$P:$P,'BC tuần'!$E39,'Data Doanh số'!$X:$X,$A$35)</f>
        <v>43897628.700000003</v>
      </c>
      <c r="J39" s="133">
        <f>COUNTIFS('HĐ Khung chuyển đổi TC'!$L:$L,'BC tuần'!$E39,'HĐ Khung chuyển đổi TC'!$T:$T,'BC tuần'!$A$35)</f>
        <v>0</v>
      </c>
      <c r="K39" s="133">
        <f>SUMIFS('HĐ Khung chuyển đổi TC'!$I:$I,'HĐ Khung chuyển đổi TC'!$L:$L,'BC tuần'!$E39,'HĐ Khung chuyển đổi TC'!$T:$T,'BC tuần'!$A$35)</f>
        <v>0</v>
      </c>
      <c r="L39" s="239">
        <f t="shared" si="11"/>
        <v>43897628.700000003</v>
      </c>
      <c r="M39" s="240">
        <f t="shared" si="12"/>
        <v>1</v>
      </c>
    </row>
    <row r="40" spans="1:13" ht="15" hidden="1" x14ac:dyDescent="0.2">
      <c r="D40" s="129">
        <v>2</v>
      </c>
      <c r="E40" s="132" t="s">
        <v>87</v>
      </c>
      <c r="F40" s="143">
        <f>COUNTIFS('Data Doanh số'!$P:$P,'BC tuần'!$E40,'Data Doanh số'!$I:$I,"Thiết kế",'Data Doanh số'!$X:$X,$A$35)</f>
        <v>0</v>
      </c>
      <c r="G40" s="143">
        <f>COUNTIFS('Data Doanh số'!$P:$P,'BC tuần'!$E40,'Data Doanh số'!$I:$I,"Thi công",'Data Doanh số'!$X:$X,$A$35)</f>
        <v>0</v>
      </c>
      <c r="H40" s="171">
        <f>COUNTIFS(
'Data Doanh số'!$P:$P,'BC tuần'!$E40,
'Data Doanh số'!$I:$I,"&lt;&gt;Thi công",
'Data Doanh số'!$I:$I,"&lt;&gt;Thiết kế",
'Data Doanh số'!$X:$X,$A$35)</f>
        <v>0</v>
      </c>
      <c r="I40" s="133">
        <f>SUMIFS('Data Doanh số'!$J:$J,'Data Doanh số'!$P:$P,'BC tuần'!$E40,'Data Doanh số'!$X:$X,$A$35)</f>
        <v>0</v>
      </c>
      <c r="J40" s="133">
        <f>COUNTIFS('HĐ Khung chuyển đổi TC'!$L:$L,'BC tuần'!$E40,'HĐ Khung chuyển đổi TC'!$T:$T,'BC tuần'!$A$35)</f>
        <v>0</v>
      </c>
      <c r="K40" s="133">
        <f>SUMIFS('HĐ Khung chuyển đổi TC'!$I:$I,'HĐ Khung chuyển đổi TC'!$L:$L,'BC tuần'!$E40,'HĐ Khung chuyển đổi TC'!$T:$T,'BC tuần'!$A$35)</f>
        <v>0</v>
      </c>
      <c r="L40" s="239">
        <f t="shared" si="11"/>
        <v>0</v>
      </c>
      <c r="M40" s="240">
        <f t="shared" si="12"/>
        <v>0</v>
      </c>
    </row>
    <row r="41" spans="1:13" ht="15" x14ac:dyDescent="0.2">
      <c r="D41" s="129">
        <v>2</v>
      </c>
      <c r="E41" s="132" t="s">
        <v>42</v>
      </c>
      <c r="F41" s="143">
        <f>COUNTIFS('Data Doanh số'!$P:$P,'BC tuần'!$E41,'Data Doanh số'!$I:$I,"Thiết kế",'Data Doanh số'!$X:$X,$A$35)</f>
        <v>1</v>
      </c>
      <c r="G41" s="143">
        <f>COUNTIFS('Data Doanh số'!$P:$P,'BC tuần'!$E41,'Data Doanh số'!$I:$I,"Thi công",'Data Doanh số'!$X:$X,$A$35)</f>
        <v>2</v>
      </c>
      <c r="H41" s="171">
        <f>COUNTIFS(
'Data Doanh số'!$P:$P,'BC tuần'!$E41,
'Data Doanh số'!$I:$I,"&lt;&gt;Thi công",
'Data Doanh số'!$I:$I,"&lt;&gt;Thiết kế",
'Data Doanh số'!$X:$X,$A$35)</f>
        <v>1</v>
      </c>
      <c r="I41" s="133">
        <f>SUMIFS('Data Doanh số'!$J:$J,'Data Doanh số'!$P:$P,'BC tuần'!$E41,'Data Doanh số'!$X:$X,$A$35)</f>
        <v>350880555</v>
      </c>
      <c r="J41" s="133">
        <f>COUNTIFS('HĐ Khung chuyển đổi TC'!$L:$L,'BC tuần'!$E41,'HĐ Khung chuyển đổi TC'!$T:$T,'BC tuần'!$A$35)</f>
        <v>0</v>
      </c>
      <c r="K41" s="133">
        <f>SUMIFS('HĐ Khung chuyển đổi TC'!$I:$I,'HĐ Khung chuyển đổi TC'!$L:$L,'BC tuần'!$E41,'HĐ Khung chuyển đổi TC'!$T:$T,'BC tuần'!$A$35)</f>
        <v>0</v>
      </c>
      <c r="L41" s="239">
        <f t="shared" si="11"/>
        <v>350880555</v>
      </c>
      <c r="M41" s="240">
        <f t="shared" si="12"/>
        <v>4</v>
      </c>
    </row>
    <row r="42" spans="1:13" ht="15" hidden="1" x14ac:dyDescent="0.2">
      <c r="D42" s="129">
        <v>4</v>
      </c>
      <c r="E42" s="132" t="s">
        <v>105</v>
      </c>
      <c r="F42" s="143">
        <f>COUNTIFS('Data Doanh số'!$P:$P,'BC tuần'!$E42,'Data Doanh số'!$I:$I,"Thiết kế",'Data Doanh số'!$X:$X,$A$35)</f>
        <v>0</v>
      </c>
      <c r="G42" s="143">
        <f>COUNTIFS('Data Doanh số'!$P:$P,'BC tuần'!$E42,'Data Doanh số'!$I:$I,"Thi công",'Data Doanh số'!$X:$X,$A$35)</f>
        <v>0</v>
      </c>
      <c r="H42" s="171">
        <f>COUNTIFS(
'Data Doanh số'!$P:$P,'BC tuần'!$E42,
'Data Doanh số'!$I:$I,"&lt;&gt;Thi công",
'Data Doanh số'!$I:$I,"&lt;&gt;Thiết kế",
'Data Doanh số'!$X:$X,$A$35)</f>
        <v>0</v>
      </c>
      <c r="I42" s="133">
        <f>SUMIFS('Data Doanh số'!$J:$J,'Data Doanh số'!$P:$P,'BC tuần'!$E42,'Data Doanh số'!$X:$X,$A$35)</f>
        <v>0</v>
      </c>
      <c r="J42" s="133">
        <f>COUNTIFS('HĐ Khung chuyển đổi TC'!$L:$L,'BC tuần'!$E42,'HĐ Khung chuyển đổi TC'!$T:$T,'BC tuần'!$A$35)</f>
        <v>0</v>
      </c>
      <c r="K42" s="133">
        <f>SUMIFS('HĐ Khung chuyển đổi TC'!$I:$I,'HĐ Khung chuyển đổi TC'!$L:$L,'BC tuần'!$E42,'HĐ Khung chuyển đổi TC'!$T:$T,'BC tuần'!$A$35)</f>
        <v>0</v>
      </c>
      <c r="L42" s="239">
        <f t="shared" si="11"/>
        <v>0</v>
      </c>
      <c r="M42" s="240">
        <f t="shared" si="12"/>
        <v>0</v>
      </c>
    </row>
    <row r="43" spans="1:13" ht="15" x14ac:dyDescent="0.2">
      <c r="D43" s="129">
        <v>3</v>
      </c>
      <c r="E43" s="132" t="s">
        <v>83</v>
      </c>
      <c r="F43" s="143">
        <f>COUNTIFS('Data Doanh số'!$P:$P,'BC tuần'!$E43,'Data Doanh số'!$I:$I,"Thiết kế",'Data Doanh số'!$X:$X,$A$35)</f>
        <v>2</v>
      </c>
      <c r="G43" s="143">
        <f>COUNTIFS('Data Doanh số'!$P:$P,'BC tuần'!$E43,'Data Doanh số'!$I:$I,"Thi công",'Data Doanh số'!$X:$X,$A$35)</f>
        <v>4</v>
      </c>
      <c r="H43" s="171">
        <f>COUNTIFS(
'Data Doanh số'!$P:$P,'BC tuần'!$E43,
'Data Doanh số'!$I:$I,"&lt;&gt;Thi công",
'Data Doanh số'!$I:$I,"&lt;&gt;Thiết kế",
'Data Doanh số'!$X:$X,$A$35)</f>
        <v>0</v>
      </c>
      <c r="I43" s="133">
        <f>SUMIFS('Data Doanh số'!$J:$J,'Data Doanh số'!$P:$P,'BC tuần'!$E43,'Data Doanh số'!$X:$X,$A$35)</f>
        <v>669074079.81481481</v>
      </c>
      <c r="J43" s="133">
        <f>COUNTIFS('HĐ Khung chuyển đổi TC'!$L:$L,'BC tuần'!$E43,'HĐ Khung chuyển đổi TC'!$T:$T,'BC tuần'!$A$35)</f>
        <v>0</v>
      </c>
      <c r="K43" s="133">
        <f>SUMIFS('HĐ Khung chuyển đổi TC'!$I:$I,'HĐ Khung chuyển đổi TC'!$L:$L,'BC tuần'!$E43,'HĐ Khung chuyển đổi TC'!$T:$T,'BC tuần'!$A$35)</f>
        <v>0</v>
      </c>
      <c r="L43" s="239">
        <f t="shared" si="11"/>
        <v>669074079.81481481</v>
      </c>
      <c r="M43" s="240">
        <f t="shared" si="12"/>
        <v>6</v>
      </c>
    </row>
    <row r="44" spans="1:13" ht="15" x14ac:dyDescent="0.2">
      <c r="D44" s="129">
        <v>4</v>
      </c>
      <c r="E44" s="132" t="s">
        <v>140</v>
      </c>
      <c r="F44" s="143">
        <f>COUNTIFS('Data Doanh số'!$P:$P,'BC tuần'!$E44,'Data Doanh số'!$I:$I,"Thiết kế",'Data Doanh số'!$X:$X,$A$35)</f>
        <v>0</v>
      </c>
      <c r="G44" s="143">
        <f>COUNTIFS('Data Doanh số'!$P:$P,'BC tuần'!$E44,'Data Doanh số'!$I:$I,"Thi công",'Data Doanh số'!$X:$X,$A$35)</f>
        <v>0</v>
      </c>
      <c r="H44" s="171">
        <f>COUNTIFS(
'Data Doanh số'!$P:$P,'BC tuần'!$E44,
'Data Doanh số'!$I:$I,"&lt;&gt;Thi công",
'Data Doanh số'!$I:$I,"&lt;&gt;Thiết kế",
'Data Doanh số'!$X:$X,$A$35)</f>
        <v>0</v>
      </c>
      <c r="I44" s="133">
        <f>SUMIFS('Data Doanh số'!$J:$J,'Data Doanh số'!$P:$P,'BC tuần'!$E44,'Data Doanh số'!$X:$X,$A$35)</f>
        <v>0</v>
      </c>
      <c r="J44" s="133">
        <f>COUNTIFS('HĐ Khung chuyển đổi TC'!$L:$L,'BC tuần'!$E44,'HĐ Khung chuyển đổi TC'!$T:$T,'BC tuần'!$A$35)</f>
        <v>0</v>
      </c>
      <c r="K44" s="133">
        <f>SUMIFS('HĐ Khung chuyển đổi TC'!$I:$I,'HĐ Khung chuyển đổi TC'!$L:$L,'BC tuần'!$E44,'HĐ Khung chuyển đổi TC'!$T:$T,'BC tuần'!$A$35)</f>
        <v>0</v>
      </c>
      <c r="L44" s="239">
        <f t="shared" si="11"/>
        <v>0</v>
      </c>
      <c r="M44" s="240">
        <f t="shared" si="12"/>
        <v>0</v>
      </c>
    </row>
    <row r="45" spans="1:13" x14ac:dyDescent="0.2">
      <c r="D45" s="135" t="s">
        <v>527</v>
      </c>
      <c r="E45" s="136" t="s">
        <v>403</v>
      </c>
      <c r="F45" s="142">
        <f>SUBTOTAL(9,F46:F50)</f>
        <v>1</v>
      </c>
      <c r="G45" s="142">
        <f t="shared" ref="G45:L45" si="13">SUBTOTAL(9,G46:G50)</f>
        <v>2</v>
      </c>
      <c r="H45" s="142">
        <f t="shared" si="13"/>
        <v>0</v>
      </c>
      <c r="I45" s="172">
        <f>SUBTOTAL(9,I46:I50)</f>
        <v>4662324855</v>
      </c>
      <c r="J45" s="142">
        <f t="shared" si="13"/>
        <v>0</v>
      </c>
      <c r="K45" s="172">
        <f t="shared" si="13"/>
        <v>0</v>
      </c>
      <c r="L45" s="172">
        <f t="shared" si="13"/>
        <v>4662324855</v>
      </c>
      <c r="M45" s="142">
        <f t="shared" ref="M45" si="14">SUBTOTAL(9,M46:M50)</f>
        <v>3</v>
      </c>
    </row>
    <row r="46" spans="1:13" ht="15" hidden="1" x14ac:dyDescent="0.2">
      <c r="D46" s="129">
        <v>1</v>
      </c>
      <c r="E46" s="132" t="s">
        <v>445</v>
      </c>
      <c r="F46" s="143">
        <f>COUNTIFS('Data Doanh số'!$P:$P,'BC tuần'!$E46,'Data Doanh số'!$I:$I,"Thiết kế",'Data Doanh số'!$X:$X,$A$35)</f>
        <v>0</v>
      </c>
      <c r="G46" s="143">
        <f>COUNTIFS('Data Doanh số'!$P:$P,'BC tuần'!$E46,'Data Doanh số'!$I:$I,"Thi công",'Data Doanh số'!$X:$X,$A$35)</f>
        <v>0</v>
      </c>
      <c r="H46" s="171">
        <f>COUNTIFS(
'Data Doanh số'!$P:$P,'BC tuần'!$E46,
'Data Doanh số'!$I:$I,"&lt;&gt;Thi công",
'Data Doanh số'!$I:$I,"&lt;&gt;Thiết kế",
'Data Doanh số'!$X:$X,$A$35)</f>
        <v>0</v>
      </c>
      <c r="I46" s="133">
        <f>SUMIFS('Data Doanh số'!$J:$J,'Data Doanh số'!$P:$P,'BC tuần'!$E46,'Data Doanh số'!$X:$X,$A$35)</f>
        <v>0</v>
      </c>
      <c r="J46" s="133">
        <f>COUNTIFS('HĐ Khung chuyển đổi TC'!$L:$L,'BC tuần'!$E46,'HĐ Khung chuyển đổi TC'!$T:$T,'BC tuần'!$A$35)</f>
        <v>0</v>
      </c>
      <c r="K46" s="133">
        <f>SUMIFS('HĐ Khung chuyển đổi TC'!$I:$I,'HĐ Khung chuyển đổi TC'!$L:$L,'BC tuần'!$E46,'HĐ Khung chuyển đổi TC'!$T:$T,'BC tuần'!$A$35)</f>
        <v>0</v>
      </c>
      <c r="L46" s="239">
        <f>+I46+K46</f>
        <v>0</v>
      </c>
      <c r="M46" s="240">
        <f>+F46+G46+H46+J46</f>
        <v>0</v>
      </c>
    </row>
    <row r="47" spans="1:13" ht="15" hidden="1" x14ac:dyDescent="0.2">
      <c r="D47" s="129">
        <v>2</v>
      </c>
      <c r="E47" s="132" t="s">
        <v>153</v>
      </c>
      <c r="F47" s="143">
        <f>COUNTIFS('Data Doanh số'!$P:$P,'BC tuần'!$E47,'Data Doanh số'!$I:$I,"Thiết kế",'Data Doanh số'!$X:$X,$A$35)</f>
        <v>0</v>
      </c>
      <c r="G47" s="143">
        <f>COUNTIFS('Data Doanh số'!$P:$P,'BC tuần'!$E47,'Data Doanh số'!$I:$I,"Thi công",'Data Doanh số'!$X:$X,$A$35)</f>
        <v>0</v>
      </c>
      <c r="H47" s="171">
        <f>COUNTIFS(
'Data Doanh số'!$P:$P,'BC tuần'!$E47,
'Data Doanh số'!$I:$I,"&lt;&gt;Thi công",
'Data Doanh số'!$I:$I,"&lt;&gt;Thiết kế",
'Data Doanh số'!$X:$X,$A$35)</f>
        <v>0</v>
      </c>
      <c r="I47" s="133">
        <f>SUMIFS('Data Doanh số'!$J:$J,'Data Doanh số'!$P:$P,'BC tuần'!$E47,'Data Doanh số'!$X:$X,$A$35)</f>
        <v>0</v>
      </c>
      <c r="J47" s="133">
        <f>COUNTIFS('HĐ Khung chuyển đổi TC'!$L:$L,'BC tuần'!$E47,'HĐ Khung chuyển đổi TC'!$T:$T,'BC tuần'!$A$35)</f>
        <v>0</v>
      </c>
      <c r="K47" s="133">
        <f>SUMIFS('HĐ Khung chuyển đổi TC'!$I:$I,'HĐ Khung chuyển đổi TC'!$L:$L,'BC tuần'!$E47,'HĐ Khung chuyển đổi TC'!$T:$T,'BC tuần'!$A$35)</f>
        <v>0</v>
      </c>
      <c r="L47" s="239">
        <f>+I47+K47</f>
        <v>0</v>
      </c>
      <c r="M47" s="240">
        <f>+F47+G47+H47+J47</f>
        <v>0</v>
      </c>
    </row>
    <row r="48" spans="1:13" ht="15" hidden="1" x14ac:dyDescent="0.2">
      <c r="D48" s="129">
        <v>3</v>
      </c>
      <c r="E48" s="132" t="s">
        <v>55</v>
      </c>
      <c r="F48" s="143">
        <f>COUNTIFS('Data Doanh số'!$P:$P,'BC tuần'!$E48,'Data Doanh số'!$I:$I,"Thiết kế",'Data Doanh số'!$X:$X,$A$35)</f>
        <v>0</v>
      </c>
      <c r="G48" s="143">
        <f>COUNTIFS('Data Doanh số'!$P:$P,'BC tuần'!$E48,'Data Doanh số'!$I:$I,"Thi công",'Data Doanh số'!$X:$X,$A$35)</f>
        <v>0</v>
      </c>
      <c r="H48" s="171">
        <f>COUNTIFS(
'Data Doanh số'!$P:$P,'BC tuần'!$E48,
'Data Doanh số'!$I:$I,"&lt;&gt;Thi công",
'Data Doanh số'!$I:$I,"&lt;&gt;Thiết kế",
'Data Doanh số'!$X:$X,$A$35)</f>
        <v>0</v>
      </c>
      <c r="I48" s="133">
        <f>SUMIFS('Data Doanh số'!$J:$J,'Data Doanh số'!$P:$P,'BC tuần'!$E48,'Data Doanh số'!$X:$X,$A$35)</f>
        <v>0</v>
      </c>
      <c r="J48" s="133">
        <f>COUNTIFS('HĐ Khung chuyển đổi TC'!$L:$L,'BC tuần'!$E48,'HĐ Khung chuyển đổi TC'!$T:$T,'BC tuần'!$A$35)</f>
        <v>0</v>
      </c>
      <c r="K48" s="133">
        <f>SUMIFS('HĐ Khung chuyển đổi TC'!$I:$I,'HĐ Khung chuyển đổi TC'!$L:$L,'BC tuần'!$E48,'HĐ Khung chuyển đổi TC'!$T:$T,'BC tuần'!$A$35)</f>
        <v>0</v>
      </c>
      <c r="L48" s="239">
        <f>+I48+K48</f>
        <v>0</v>
      </c>
      <c r="M48" s="240">
        <f>+F48+G48+H48+J48</f>
        <v>0</v>
      </c>
    </row>
    <row r="49" spans="1:13" ht="15" x14ac:dyDescent="0.2">
      <c r="D49" s="129">
        <v>1</v>
      </c>
      <c r="E49" s="132" t="s">
        <v>312</v>
      </c>
      <c r="F49" s="143">
        <f>COUNTIFS('Data Doanh số'!$P:$P,'BC tuần'!$E49,'Data Doanh số'!$I:$I,"Thiết kế",'Data Doanh số'!$X:$X,$A$35)</f>
        <v>1</v>
      </c>
      <c r="G49" s="143">
        <f>COUNTIFS('Data Doanh số'!$P:$P,'BC tuần'!$E49,'Data Doanh số'!$I:$I,"Thi công",'Data Doanh số'!$X:$X,$A$35)</f>
        <v>2</v>
      </c>
      <c r="H49" s="171">
        <f>COUNTIFS(
'Data Doanh số'!$P:$P,'BC tuần'!$E49,
'Data Doanh số'!$I:$I,"&lt;&gt;Thi công",
'Data Doanh số'!$I:$I,"&lt;&gt;Thiết kế",
'Data Doanh số'!$X:$X,$A$35)</f>
        <v>0</v>
      </c>
      <c r="I49" s="133">
        <f>SUMIFS('Data Doanh số'!$J:$J,'Data Doanh số'!$P:$P,'BC tuần'!$E49,'Data Doanh số'!$X:$X,$A$35)</f>
        <v>4662324855</v>
      </c>
      <c r="J49" s="133">
        <f>COUNTIFS('HĐ Khung chuyển đổi TC'!$L:$L,'BC tuần'!$E49,'HĐ Khung chuyển đổi TC'!$T:$T,'BC tuần'!$A$35)</f>
        <v>0</v>
      </c>
      <c r="K49" s="133">
        <f>SUMIFS('HĐ Khung chuyển đổi TC'!$I:$I,'HĐ Khung chuyển đổi TC'!$L:$L,'BC tuần'!$E49,'HĐ Khung chuyển đổi TC'!$T:$T,'BC tuần'!$A$35)</f>
        <v>0</v>
      </c>
      <c r="L49" s="239">
        <f>+I49+K49</f>
        <v>4662324855</v>
      </c>
      <c r="M49" s="240">
        <f>+F49+G49+H49+J49</f>
        <v>3</v>
      </c>
    </row>
    <row r="50" spans="1:13" ht="15" x14ac:dyDescent="0.2">
      <c r="D50" s="129">
        <v>2</v>
      </c>
      <c r="E50" s="132" t="s">
        <v>236</v>
      </c>
      <c r="F50" s="143">
        <f>COUNTIFS('Data Doanh số'!$P:$P,'BC tuần'!$E50,'Data Doanh số'!$I:$I,"Thiết kế",'Data Doanh số'!$X:$X,$A$35)</f>
        <v>0</v>
      </c>
      <c r="G50" s="143">
        <f>COUNTIFS('Data Doanh số'!$P:$P,'BC tuần'!$E50,'Data Doanh số'!$I:$I,"Thi công",'Data Doanh số'!$X:$X,$A$35)</f>
        <v>0</v>
      </c>
      <c r="H50" s="171">
        <f>COUNTIFS(
'Data Doanh số'!$P:$P,'BC tuần'!$E50,
'Data Doanh số'!$I:$I,"&lt;&gt;Thi công",
'Data Doanh số'!$I:$I,"&lt;&gt;Thiết kế",
'Data Doanh số'!$X:$X,$A$35)</f>
        <v>0</v>
      </c>
      <c r="I50" s="133">
        <f>SUMIFS('Data Doanh số'!$J:$J,'Data Doanh số'!$P:$P,'BC tuần'!$E50,'Data Doanh số'!$X:$X,$A$35)</f>
        <v>0</v>
      </c>
      <c r="J50" s="133">
        <f>COUNTIFS('HĐ Khung chuyển đổi TC'!$L:$L,'BC tuần'!$E50,'HĐ Khung chuyển đổi TC'!$T:$T,'BC tuần'!$A$35)</f>
        <v>0</v>
      </c>
      <c r="K50" s="133">
        <f>SUMIFS('HĐ Khung chuyển đổi TC'!$I:$I,'HĐ Khung chuyển đổi TC'!$L:$L,'BC tuần'!$E50,'HĐ Khung chuyển đổi TC'!$T:$T,'BC tuần'!$A$35)</f>
        <v>0</v>
      </c>
      <c r="L50" s="239">
        <f>+I50+K50</f>
        <v>0</v>
      </c>
      <c r="M50" s="240">
        <f>+F50+G50+H50+J50</f>
        <v>0</v>
      </c>
    </row>
    <row r="51" spans="1:13" x14ac:dyDescent="0.2">
      <c r="D51" s="135" t="s">
        <v>528</v>
      </c>
      <c r="E51" s="136" t="s">
        <v>405</v>
      </c>
      <c r="F51" s="142">
        <f>SUBTOTAL(9,F52:F57)</f>
        <v>0</v>
      </c>
      <c r="G51" s="142">
        <f t="shared" ref="G51:H51" si="15">SUBTOTAL(9,G52:G57)</f>
        <v>0</v>
      </c>
      <c r="H51" s="142">
        <f t="shared" si="15"/>
        <v>0</v>
      </c>
      <c r="I51" s="139">
        <f>SUBTOTAL(9,I52:I57)</f>
        <v>0</v>
      </c>
      <c r="J51" s="142">
        <f t="shared" ref="J51" si="16">SUBTOTAL(9,J52:J57)</f>
        <v>0</v>
      </c>
      <c r="K51" s="139">
        <f>SUBTOTAL(9,K52:K57)</f>
        <v>0</v>
      </c>
      <c r="L51" s="139">
        <f>SUBTOTAL(9,L52:L57)</f>
        <v>0</v>
      </c>
      <c r="M51" s="142">
        <f t="shared" ref="M51" si="17">SUBTOTAL(9,M52:M57)</f>
        <v>0</v>
      </c>
    </row>
    <row r="52" spans="1:13" ht="15" x14ac:dyDescent="0.2">
      <c r="D52" s="129">
        <v>1</v>
      </c>
      <c r="E52" s="132" t="s">
        <v>210</v>
      </c>
      <c r="F52" s="143">
        <f>COUNTIFS('Data Doanh số'!$P:$P,'BC tuần'!$E52,'Data Doanh số'!$I:$I,"Thiết kế",'Data Doanh số'!$X:$X,$A$35)</f>
        <v>0</v>
      </c>
      <c r="G52" s="143">
        <f>COUNTIFS('Data Doanh số'!$P:$P,'BC tuần'!$E52,'Data Doanh số'!$I:$I,"Thi công",'Data Doanh số'!$X:$X,$A$35)</f>
        <v>0</v>
      </c>
      <c r="H52" s="171">
        <f>COUNTIFS(
'Data Doanh số'!$P:$P,'BC tuần'!$E52,
'Data Doanh số'!$I:$I,"&lt;&gt;Thi công",
'Data Doanh số'!$I:$I,"&lt;&gt;Thiết kế",
'Data Doanh số'!$X:$X,$A$35)</f>
        <v>0</v>
      </c>
      <c r="I52" s="133">
        <f>SUMIFS('Data Doanh số'!$J:$J,'Data Doanh số'!$P:$P,'BC tuần'!$E52,'Data Doanh số'!$X:$X,$A$35)</f>
        <v>0</v>
      </c>
      <c r="J52" s="133">
        <f>COUNTIFS('HĐ Khung chuyển đổi TC'!$L:$L,'BC tuần'!$E52,'HĐ Khung chuyển đổi TC'!$T:$T,'BC tuần'!$A$35)</f>
        <v>0</v>
      </c>
      <c r="K52" s="133">
        <f>SUMIFS('HĐ Khung chuyển đổi TC'!$I:$I,'HĐ Khung chuyển đổi TC'!$L:$L,'BC tuần'!$E52,'HĐ Khung chuyển đổi TC'!$T:$T,'BC tuần'!$A$35)</f>
        <v>0</v>
      </c>
      <c r="L52" s="239">
        <f t="shared" ref="L52:L57" si="18">+I52+K52</f>
        <v>0</v>
      </c>
      <c r="M52" s="240">
        <f t="shared" ref="M52:M57" si="19">+F52+G52+H52+J52</f>
        <v>0</v>
      </c>
    </row>
    <row r="53" spans="1:13" ht="15" hidden="1" x14ac:dyDescent="0.2">
      <c r="D53" s="129">
        <v>2</v>
      </c>
      <c r="E53" s="132" t="s">
        <v>170</v>
      </c>
      <c r="F53" s="143">
        <f>COUNTIFS('Data Doanh số'!$P:$P,'BC tuần'!$E53,'Data Doanh số'!$I:$I,"Thiết kế",'Data Doanh số'!$X:$X,$A$35)</f>
        <v>0</v>
      </c>
      <c r="G53" s="143">
        <f>COUNTIFS('Data Doanh số'!$P:$P,'BC tuần'!$E53,'Data Doanh số'!$I:$I,"Thi công",'Data Doanh số'!$X:$X,$A$35)</f>
        <v>0</v>
      </c>
      <c r="H53" s="171">
        <f>COUNTIFS(
'Data Doanh số'!$P:$P,'BC tuần'!$E53,
'Data Doanh số'!$I:$I,"&lt;&gt;Thi công",
'Data Doanh số'!$I:$I,"&lt;&gt;Thiết kế",
'Data Doanh số'!$X:$X,$A$35)</f>
        <v>0</v>
      </c>
      <c r="I53" s="133">
        <f>SUMIFS('Data Doanh số'!$J:$J,'Data Doanh số'!$P:$P,'BC tuần'!$E53,'Data Doanh số'!$X:$X,$A$35)</f>
        <v>0</v>
      </c>
      <c r="J53" s="133">
        <f>COUNTIFS('HĐ Khung chuyển đổi TC'!$L:$L,'BC tuần'!$E53,'HĐ Khung chuyển đổi TC'!$T:$T,'BC tuần'!$A$35)</f>
        <v>0</v>
      </c>
      <c r="K53" s="133">
        <f>SUMIFS('HĐ Khung chuyển đổi TC'!$I:$I,'HĐ Khung chuyển đổi TC'!$L:$L,'BC tuần'!$E53,'HĐ Khung chuyển đổi TC'!$T:$T,'BC tuần'!$A$35)</f>
        <v>0</v>
      </c>
      <c r="L53" s="239">
        <f t="shared" si="18"/>
        <v>0</v>
      </c>
      <c r="M53" s="240">
        <f t="shared" si="19"/>
        <v>0</v>
      </c>
    </row>
    <row r="54" spans="1:13" ht="15" x14ac:dyDescent="0.2">
      <c r="D54" s="129">
        <v>2</v>
      </c>
      <c r="E54" s="132" t="s">
        <v>63</v>
      </c>
      <c r="F54" s="143">
        <f>COUNTIFS('Data Doanh số'!$P:$P,'BC tuần'!$E54,'Data Doanh số'!$I:$I,"Thiết kế",'Data Doanh số'!$X:$X,$A$35)</f>
        <v>0</v>
      </c>
      <c r="G54" s="143">
        <f>COUNTIFS('Data Doanh số'!$P:$P,'BC tuần'!$E54,'Data Doanh số'!$I:$I,"Thi công",'Data Doanh số'!$X:$X,$A$35)</f>
        <v>0</v>
      </c>
      <c r="H54" s="171">
        <f>COUNTIFS(
'Data Doanh số'!$P:$P,'BC tuần'!$E54,
'Data Doanh số'!$I:$I,"&lt;&gt;Thi công",
'Data Doanh số'!$I:$I,"&lt;&gt;Thiết kế",
'Data Doanh số'!$X:$X,$A$35)</f>
        <v>0</v>
      </c>
      <c r="I54" s="133">
        <f>SUMIFS('Data Doanh số'!$J:$J,'Data Doanh số'!$P:$P,'BC tuần'!$E54,'Data Doanh số'!$X:$X,$A$35)</f>
        <v>0</v>
      </c>
      <c r="J54" s="133">
        <f>COUNTIFS('HĐ Khung chuyển đổi TC'!$L:$L,'BC tuần'!$E54,'HĐ Khung chuyển đổi TC'!$T:$T,'BC tuần'!$A$35)</f>
        <v>0</v>
      </c>
      <c r="K54" s="133">
        <f>SUMIFS('HĐ Khung chuyển đổi TC'!$I:$I,'HĐ Khung chuyển đổi TC'!$L:$L,'BC tuần'!$E54,'HĐ Khung chuyển đổi TC'!$T:$T,'BC tuần'!$A$35)</f>
        <v>0</v>
      </c>
      <c r="L54" s="239">
        <f t="shared" si="18"/>
        <v>0</v>
      </c>
      <c r="M54" s="240">
        <f t="shared" si="19"/>
        <v>0</v>
      </c>
    </row>
    <row r="55" spans="1:13" ht="15" hidden="1" x14ac:dyDescent="0.2">
      <c r="D55" s="129">
        <v>4</v>
      </c>
      <c r="E55" s="132" t="s">
        <v>59</v>
      </c>
      <c r="F55" s="143">
        <f>COUNTIFS('Data Doanh số'!$P:$P,'BC tuần'!$E55,'Data Doanh số'!$I:$I,"Thiết kế",'Data Doanh số'!$X:$X,$A$35)</f>
        <v>0</v>
      </c>
      <c r="G55" s="143">
        <f>COUNTIFS('Data Doanh số'!$P:$P,'BC tuần'!$E55,'Data Doanh số'!$I:$I,"Thi công",'Data Doanh số'!$X:$X,$A$35)</f>
        <v>0</v>
      </c>
      <c r="H55" s="171">
        <f>COUNTIFS(
'Data Doanh số'!$P:$P,'BC tuần'!$E55,
'Data Doanh số'!$I:$I,"&lt;&gt;Thi công",
'Data Doanh số'!$I:$I,"&lt;&gt;Thiết kế",
'Data Doanh số'!$X:$X,$A$35)</f>
        <v>0</v>
      </c>
      <c r="I55" s="133">
        <f>SUMIFS('Data Doanh số'!$J:$J,'Data Doanh số'!$P:$P,'BC tuần'!$E55,'Data Doanh số'!$X:$X,$A$35)</f>
        <v>0</v>
      </c>
      <c r="J55" s="133">
        <f>COUNTIFS('HĐ Khung chuyển đổi TC'!$L:$L,'BC tuần'!$E55,'HĐ Khung chuyển đổi TC'!$T:$T,'BC tuần'!$A$35)</f>
        <v>0</v>
      </c>
      <c r="K55" s="133">
        <f>SUMIFS('HĐ Khung chuyển đổi TC'!$I:$I,'HĐ Khung chuyển đổi TC'!$L:$L,'BC tuần'!$E55,'HĐ Khung chuyển đổi TC'!$T:$T,'BC tuần'!$A$35)</f>
        <v>0</v>
      </c>
      <c r="L55" s="239">
        <f t="shared" si="18"/>
        <v>0</v>
      </c>
      <c r="M55" s="240">
        <f t="shared" si="19"/>
        <v>0</v>
      </c>
    </row>
    <row r="56" spans="1:13" ht="15" hidden="1" x14ac:dyDescent="0.2">
      <c r="D56" s="129">
        <v>5</v>
      </c>
      <c r="E56" s="132" t="s">
        <v>257</v>
      </c>
      <c r="F56" s="143">
        <f>COUNTIFS('Data Doanh số'!$P:$P,'BC tuần'!$E56,'Data Doanh số'!$I:$I,"Thiết kế",'Data Doanh số'!$X:$X,$A$35)</f>
        <v>0</v>
      </c>
      <c r="G56" s="143">
        <f>COUNTIFS('Data Doanh số'!$P:$P,'BC tuần'!$E56,'Data Doanh số'!$I:$I,"Thi công",'Data Doanh số'!$X:$X,$A$35)</f>
        <v>0</v>
      </c>
      <c r="H56" s="171">
        <f>COUNTIFS(
'Data Doanh số'!$P:$P,'BC tuần'!$E56,
'Data Doanh số'!$I:$I,"&lt;&gt;Thi công",
'Data Doanh số'!$I:$I,"&lt;&gt;Thiết kế",
'Data Doanh số'!$X:$X,$A$35)</f>
        <v>0</v>
      </c>
      <c r="I56" s="133">
        <f>SUMIFS('Data Doanh số'!$J:$J,'Data Doanh số'!$P:$P,'BC tuần'!$E56,'Data Doanh số'!$X:$X,$A$35)</f>
        <v>0</v>
      </c>
      <c r="J56" s="133">
        <f>COUNTIFS('HĐ Khung chuyển đổi TC'!$L:$L,'BC tuần'!$E56,'HĐ Khung chuyển đổi TC'!$T:$T,'BC tuần'!$A$35)</f>
        <v>0</v>
      </c>
      <c r="K56" s="133">
        <f>SUMIFS('HĐ Khung chuyển đổi TC'!$I:$I,'HĐ Khung chuyển đổi TC'!$L:$L,'BC tuần'!$E56,'HĐ Khung chuyển đổi TC'!$T:$T,'BC tuần'!$A$35)</f>
        <v>0</v>
      </c>
      <c r="L56" s="239">
        <f t="shared" si="18"/>
        <v>0</v>
      </c>
      <c r="M56" s="240">
        <f t="shared" si="19"/>
        <v>0</v>
      </c>
    </row>
    <row r="57" spans="1:13" ht="15" x14ac:dyDescent="0.2">
      <c r="D57" s="129">
        <v>3</v>
      </c>
      <c r="E57" s="132" t="s">
        <v>529</v>
      </c>
      <c r="F57" s="269">
        <f>COUNTIFS('Data Doanh số'!$P:$P,'BC tuần'!$E57,'Data Doanh số'!$I:$I,"Thiết kế",'Data Doanh số'!$X:$X,$A$35)</f>
        <v>0</v>
      </c>
      <c r="G57" s="143">
        <f>COUNTIFS('Data Doanh số'!$P:$P,'BC tuần'!$E57,'Data Doanh số'!$I:$I,"Thi công",'Data Doanh số'!$X:$X,$A$35)</f>
        <v>0</v>
      </c>
      <c r="H57" s="171">
        <f>COUNTIFS(
'Data Doanh số'!$P:$P,'BC tuần'!$E57,
'Data Doanh số'!$I:$I,"&lt;&gt;Thi công",
'Data Doanh số'!$I:$I,"&lt;&gt;Thiết kế",
'Data Doanh số'!$X:$X,$A$35)</f>
        <v>0</v>
      </c>
      <c r="I57" s="133">
        <f>SUMIFS('Data Doanh số'!$J:$J,'Data Doanh số'!$P:$P,'BC tuần'!$E57,'Data Doanh số'!$X:$X,$A$35)</f>
        <v>0</v>
      </c>
      <c r="J57" s="133">
        <f>COUNTIFS('HĐ Khung chuyển đổi TC'!$L:$L,'BC tuần'!$E57,'HĐ Khung chuyển đổi TC'!$T:$T,'BC tuần'!$A$35)</f>
        <v>0</v>
      </c>
      <c r="K57" s="133">
        <f>SUMIFS('HĐ Khung chuyển đổi TC'!$I:$I,'HĐ Khung chuyển đổi TC'!$L:$L,'BC tuần'!$E57,'HĐ Khung chuyển đổi TC'!$T:$T,'BC tuần'!$A$35)</f>
        <v>0</v>
      </c>
      <c r="L57" s="239">
        <f t="shared" si="18"/>
        <v>0</v>
      </c>
      <c r="M57" s="240">
        <f t="shared" si="19"/>
        <v>0</v>
      </c>
    </row>
    <row r="58" spans="1:13" x14ac:dyDescent="0.2">
      <c r="D58" s="135" t="s">
        <v>530</v>
      </c>
      <c r="E58" s="267" t="s">
        <v>442</v>
      </c>
      <c r="F58" s="172">
        <f>SUBTOTAL(9,F59:F61)</f>
        <v>0</v>
      </c>
      <c r="G58" s="268">
        <f t="shared" ref="G58:M58" si="20">SUBTOTAL(9,G59:G61)</f>
        <v>1</v>
      </c>
      <c r="H58" s="172">
        <f t="shared" si="20"/>
        <v>0</v>
      </c>
      <c r="I58" s="172">
        <f>SUBTOTAL(9,I59:I61)</f>
        <v>356000000</v>
      </c>
      <c r="J58" s="172">
        <f t="shared" si="20"/>
        <v>0</v>
      </c>
      <c r="K58" s="172">
        <f t="shared" si="20"/>
        <v>0</v>
      </c>
      <c r="L58" s="172">
        <f t="shared" si="20"/>
        <v>356000000</v>
      </c>
      <c r="M58" s="172">
        <f t="shared" si="20"/>
        <v>1</v>
      </c>
    </row>
    <row r="59" spans="1:13" ht="15" x14ac:dyDescent="0.2">
      <c r="D59" s="129">
        <v>1</v>
      </c>
      <c r="E59" s="132" t="s">
        <v>80</v>
      </c>
      <c r="F59" s="270">
        <f>COUNTIFS('Data Doanh số'!$P:$P,'BC tuần'!$E59,'Data Doanh số'!$I:$I,"Thiết kế",'Data Doanh số'!$X:$X,$A$35)</f>
        <v>0</v>
      </c>
      <c r="G59" s="143">
        <f>COUNTIFS('Data Doanh số'!$P:$P,'BC tuần'!$E59,'Data Doanh số'!$I:$I,"Thi công",'Data Doanh số'!$X:$X,$A$35)</f>
        <v>0</v>
      </c>
      <c r="H59" s="171">
        <f>COUNTIFS(
'Data Doanh số'!$P:$P,'BC tuần'!$E59,
'Data Doanh số'!$I:$I,"&lt;&gt;Thi công",
'Data Doanh số'!$I:$I,"&lt;&gt;Thiết kế",
'Data Doanh số'!$X:$X,$A$35)</f>
        <v>0</v>
      </c>
      <c r="I59" s="133">
        <f>SUMIFS('Data Doanh số'!$J:$J,'Data Doanh số'!$P:$P,'BC tuần'!$E59,'Data Doanh số'!$X:$X,$A$35)</f>
        <v>0</v>
      </c>
      <c r="J59" s="133">
        <f>COUNTIFS('HĐ Khung chuyển đổi TC'!$L:$L,'BC tuần'!$E59,'HĐ Khung chuyển đổi TC'!$T:$T,'BC tuần'!$A$35)</f>
        <v>0</v>
      </c>
      <c r="K59" s="133">
        <f>SUMIFS('HĐ Khung chuyển đổi TC'!$I:$I,'HĐ Khung chuyển đổi TC'!$L:$L,'BC tuần'!$E59,'HĐ Khung chuyển đổi TC'!$T:$T,'BC tuần'!$A$35)</f>
        <v>0</v>
      </c>
      <c r="L59" s="239">
        <f>+I59+K59</f>
        <v>0</v>
      </c>
      <c r="M59" s="240">
        <f>+F59+G59+H59+J59</f>
        <v>0</v>
      </c>
    </row>
    <row r="60" spans="1:13" ht="15" x14ac:dyDescent="0.2">
      <c r="D60" s="129">
        <v>2</v>
      </c>
      <c r="E60" s="132" t="s">
        <v>226</v>
      </c>
      <c r="F60" s="143">
        <f>COUNTIFS('Data Doanh số'!$P:$P,'BC tuần'!$E60,'Data Doanh số'!$I:$I,"Thiết kế",'Data Doanh số'!$X:$X,$A$35)</f>
        <v>0</v>
      </c>
      <c r="G60" s="143">
        <f>COUNTIFS('Data Doanh số'!$P:$P,'BC tuần'!$E60,'Data Doanh số'!$I:$I,"Thi công",'Data Doanh số'!$X:$X,$A$35)</f>
        <v>1</v>
      </c>
      <c r="H60" s="171">
        <f>COUNTIFS(
'Data Doanh số'!$P:$P,'BC tuần'!$E60,
'Data Doanh số'!$I:$I,"&lt;&gt;Thi công",
'Data Doanh số'!$I:$I,"&lt;&gt;Thiết kế",
'Data Doanh số'!$X:$X,$A$35)</f>
        <v>0</v>
      </c>
      <c r="I60" s="133">
        <f>SUMIFS('Data Doanh số'!$J:$J,'Data Doanh số'!$P:$P,'BC tuần'!$E60,'Data Doanh số'!$X:$X,$A$35)</f>
        <v>356000000</v>
      </c>
      <c r="J60" s="133">
        <f>COUNTIFS('HĐ Khung chuyển đổi TC'!$L:$L,'BC tuần'!$E60,'HĐ Khung chuyển đổi TC'!$T:$T,'BC tuần'!$A$35)</f>
        <v>0</v>
      </c>
      <c r="K60" s="133">
        <f>SUMIFS('HĐ Khung chuyển đổi TC'!$I:$I,'HĐ Khung chuyển đổi TC'!$L:$L,'BC tuần'!$E60,'HĐ Khung chuyển đổi TC'!$T:$T,'BC tuần'!$A$35)</f>
        <v>0</v>
      </c>
      <c r="L60" s="239">
        <f>+I60+K60</f>
        <v>356000000</v>
      </c>
      <c r="M60" s="240">
        <f>+F60+G60+H60+J60</f>
        <v>1</v>
      </c>
    </row>
    <row r="61" spans="1:13" ht="15" x14ac:dyDescent="0.2">
      <c r="D61" s="129">
        <v>3</v>
      </c>
      <c r="E61" s="132" t="s">
        <v>531</v>
      </c>
      <c r="F61" s="143">
        <f>COUNTIFS('Data Doanh số'!$P:$P,'BC tuần'!$E61,'Data Doanh số'!$I:$I,"Thiết kế",'Data Doanh số'!$X:$X,$A$35)</f>
        <v>0</v>
      </c>
      <c r="G61" s="143">
        <f>COUNTIFS('Data Doanh số'!$P:$P,'BC tuần'!$E61,'Data Doanh số'!$I:$I,"Thi công",'Data Doanh số'!$X:$X,$A$35)</f>
        <v>0</v>
      </c>
      <c r="H61" s="171">
        <f>COUNTIFS(
'Data Doanh số'!$P:$P,'BC tuần'!$E61,
'Data Doanh số'!$I:$I,"&lt;&gt;Thi công",
'Data Doanh số'!$I:$I,"&lt;&gt;Thiết kế",
'Data Doanh số'!$X:$X,$A$35)</f>
        <v>0</v>
      </c>
      <c r="I61" s="133">
        <f>SUMIFS('Data Doanh số'!$J:$J,'Data Doanh số'!$P:$P,'BC tuần'!$E61,'Data Doanh số'!$X:$X,$A$35)</f>
        <v>0</v>
      </c>
      <c r="J61" s="133">
        <f>COUNTIFS('HĐ Khung chuyển đổi TC'!$L:$L,'BC tuần'!$E61,'HĐ Khung chuyển đổi TC'!$T:$T,'BC tuần'!$A$35)</f>
        <v>0</v>
      </c>
      <c r="K61" s="133">
        <f>SUMIFS('HĐ Khung chuyển đổi TC'!$I:$I,'HĐ Khung chuyển đổi TC'!$L:$L,'BC tuần'!$E61,'HĐ Khung chuyển đổi TC'!$T:$T,'BC tuần'!$A$35)</f>
        <v>0</v>
      </c>
      <c r="L61" s="239">
        <f>+I61+K61</f>
        <v>0</v>
      </c>
      <c r="M61" s="240">
        <f>+F61+G61+H61+J61</f>
        <v>0</v>
      </c>
    </row>
    <row r="62" spans="1:13" x14ac:dyDescent="0.2">
      <c r="D62" s="135" t="s">
        <v>532</v>
      </c>
      <c r="E62" s="136" t="s">
        <v>117</v>
      </c>
      <c r="F62" s="139">
        <f>SUBTOTAL(9,F63)</f>
        <v>0</v>
      </c>
      <c r="G62" s="139">
        <f t="shared" ref="G62" si="21">SUBTOTAL(9,G63)</f>
        <v>0</v>
      </c>
      <c r="H62" s="142">
        <f>SUBTOTAL(9,H63)</f>
        <v>25</v>
      </c>
      <c r="I62" s="139">
        <f t="shared" ref="I62:M62" si="22">SUBTOTAL(9,I63)</f>
        <v>0</v>
      </c>
      <c r="J62" s="139">
        <f t="shared" si="22"/>
        <v>0</v>
      </c>
      <c r="K62" s="139">
        <f t="shared" si="22"/>
        <v>0</v>
      </c>
      <c r="L62" s="139">
        <f t="shared" si="22"/>
        <v>0</v>
      </c>
      <c r="M62" s="139">
        <f t="shared" si="22"/>
        <v>25</v>
      </c>
    </row>
    <row r="63" spans="1:13" ht="15" x14ac:dyDescent="0.2">
      <c r="A63" s="243"/>
      <c r="D63" s="129">
        <v>1</v>
      </c>
      <c r="E63" s="132" t="s">
        <v>467</v>
      </c>
      <c r="F63" s="143">
        <f>COUNTIFS('Data Doanh số'!$P:$P,'BC tuần'!$E63,'Data Doanh số'!$I:$I,"Thiết kế",'Data Doanh số'!$X:$X,$A$35)</f>
        <v>0</v>
      </c>
      <c r="G63" s="143">
        <f>COUNTIFS('Data Doanh số'!$P:$P,'BC tuần'!$E63,'Data Doanh số'!$I:$I,"Thi công",'Data Doanh số'!$X:$X,$A$35)</f>
        <v>0</v>
      </c>
      <c r="H63" s="171">
        <v>25</v>
      </c>
      <c r="I63" s="133">
        <f>SUMIFS('Data Doanh số'!$J:$J,'Data Doanh số'!$P:$P,'BC tuần'!$E63,'Data Doanh số'!$X:$X,$A$35)</f>
        <v>0</v>
      </c>
      <c r="J63" s="133">
        <f>COUNTIFS('HĐ Khung chuyển đổi TC'!$L:$L,'BC tuần'!$E63,'HĐ Khung chuyển đổi TC'!$T:$T,'BC tuần'!$A$35)</f>
        <v>0</v>
      </c>
      <c r="K63" s="133">
        <f>SUMIFS('HĐ Khung chuyển đổi TC'!$I:$I,'HĐ Khung chuyển đổi TC'!$L:$L,'BC tuần'!$E63,'HĐ Khung chuyển đổi TC'!$T:$T,'BC tuần'!$A$35)</f>
        <v>0</v>
      </c>
      <c r="L63" s="239">
        <f>+I63+K63</f>
        <v>0</v>
      </c>
      <c r="M63" s="240">
        <f>+F63+G63+H63+J63</f>
        <v>25</v>
      </c>
    </row>
    <row r="64" spans="1:13" x14ac:dyDescent="0.2">
      <c r="D64" s="360" t="s">
        <v>447</v>
      </c>
      <c r="E64" s="360"/>
      <c r="F64" s="144">
        <f t="shared" ref="F64:M64" si="23">SUBTOTAL(9,F37:F63)</f>
        <v>5</v>
      </c>
      <c r="G64" s="144">
        <f t="shared" si="23"/>
        <v>11</v>
      </c>
      <c r="H64" s="144">
        <f t="shared" si="23"/>
        <v>26</v>
      </c>
      <c r="I64" s="141">
        <f t="shared" si="23"/>
        <v>6142084525.7370377</v>
      </c>
      <c r="J64" s="141">
        <f t="shared" si="23"/>
        <v>0</v>
      </c>
      <c r="K64" s="141">
        <f t="shared" si="23"/>
        <v>0</v>
      </c>
      <c r="L64" s="141">
        <f t="shared" si="23"/>
        <v>6142084525.7370377</v>
      </c>
      <c r="M64" s="141">
        <f t="shared" si="23"/>
        <v>42</v>
      </c>
    </row>
    <row r="67" spans="1:13" ht="16.5" customHeight="1" x14ac:dyDescent="0.2"/>
    <row r="68" spans="1:13" ht="48.75" customHeight="1" x14ac:dyDescent="0.2">
      <c r="A68" s="243" t="s">
        <v>26</v>
      </c>
      <c r="D68" s="178" t="s">
        <v>0</v>
      </c>
      <c r="E68" s="178" t="s">
        <v>509</v>
      </c>
      <c r="F68" s="179" t="s">
        <v>510</v>
      </c>
      <c r="G68" s="179" t="s">
        <v>511</v>
      </c>
      <c r="H68" s="179" t="s">
        <v>512</v>
      </c>
      <c r="I68" s="178" t="s">
        <v>513</v>
      </c>
      <c r="J68" s="179" t="s">
        <v>533</v>
      </c>
      <c r="K68" s="179" t="s">
        <v>536</v>
      </c>
      <c r="L68" s="179" t="s">
        <v>516</v>
      </c>
      <c r="M68" s="179" t="s">
        <v>534</v>
      </c>
    </row>
    <row r="69" spans="1:13" x14ac:dyDescent="0.2">
      <c r="A69" s="238" t="s">
        <v>476</v>
      </c>
      <c r="D69" s="128"/>
      <c r="E69" s="128"/>
      <c r="F69" s="140" t="s">
        <v>518</v>
      </c>
      <c r="G69" s="140" t="s">
        <v>519</v>
      </c>
      <c r="H69" s="128" t="s">
        <v>520</v>
      </c>
      <c r="I69" s="140" t="s">
        <v>521</v>
      </c>
      <c r="J69" s="140" t="s">
        <v>522</v>
      </c>
      <c r="K69" s="140" t="s">
        <v>523</v>
      </c>
      <c r="L69" s="140" t="s">
        <v>524</v>
      </c>
      <c r="M69" s="140" t="s">
        <v>535</v>
      </c>
    </row>
    <row r="70" spans="1:13" x14ac:dyDescent="0.2">
      <c r="D70" s="135" t="s">
        <v>526</v>
      </c>
      <c r="E70" s="136" t="s">
        <v>402</v>
      </c>
      <c r="F70" s="142">
        <f t="shared" ref="F70:M70" si="24">SUBTOTAL(9,F71:F77)</f>
        <v>11</v>
      </c>
      <c r="G70" s="142">
        <f t="shared" si="24"/>
        <v>12</v>
      </c>
      <c r="H70" s="142">
        <f t="shared" si="24"/>
        <v>2</v>
      </c>
      <c r="I70" s="139">
        <f t="shared" si="24"/>
        <v>3277245949.5481482</v>
      </c>
      <c r="J70" s="142">
        <f t="shared" si="24"/>
        <v>0</v>
      </c>
      <c r="K70" s="142">
        <f t="shared" si="24"/>
        <v>0</v>
      </c>
      <c r="L70" s="172">
        <f t="shared" si="24"/>
        <v>3277245949.5481482</v>
      </c>
      <c r="M70" s="142">
        <f t="shared" si="24"/>
        <v>25</v>
      </c>
    </row>
    <row r="71" spans="1:13" ht="15" x14ac:dyDescent="0.2">
      <c r="D71" s="129">
        <v>1</v>
      </c>
      <c r="E71" s="132" t="s">
        <v>71</v>
      </c>
      <c r="F71" s="143">
        <f>COUNTIFS('Data Doanh số'!$P:$P,'BC tuần'!E71,'Data Doanh số'!$I:$I,"Thiết kế",'Data Doanh số'!$AA:$AA,'BC tuần'!$A$69)</f>
        <v>1</v>
      </c>
      <c r="G71" s="143">
        <f>COUNTIFS('Data Doanh số'!$P:$P,'BC tuần'!$E71,'Data Doanh số'!$I:$I,"Thi công",'Data Doanh số'!$AA:$AA,'BC tuần'!$A$69)</f>
        <v>2</v>
      </c>
      <c r="H71" s="171">
        <f>COUNTIFS('Data Doanh số'!$P:$P,'BC tuần'!$E71,'Data Doanh số'!$I:$I,"&lt;&gt;Thi công",'Data Doanh số'!$I:$I,"&lt;&gt;Thiết kế",'Data Doanh số'!$I:$I,"&lt;&gt;Hợp đồng khung",'Data Doanh số'!$AA:$AA,'BC tuần'!$A$69)</f>
        <v>1</v>
      </c>
      <c r="I71" s="133">
        <f>SUMIFS('Data Doanh số'!$J:$J,'Data Doanh số'!$P:$P,'BC tuần'!$E71,'Data Doanh số'!$AA:$AA,'BC tuần'!$A$69)</f>
        <v>147941778.69999999</v>
      </c>
      <c r="J71" s="133">
        <f>COUNTIFS('HĐ Khung chuyển đổi TC'!$L:$L,'BC tuần'!$E71,'HĐ Khung chuyển đổi TC'!$W:$W,'BC tuần'!$A$69)</f>
        <v>0</v>
      </c>
      <c r="K71" s="133">
        <f>SUMIFS('HĐ Khung chuyển đổi TC'!$I:$I,'HĐ Khung chuyển đổi TC'!$L:$L,'BC tuần'!$E71,'HĐ Khung chuyển đổi TC'!$W:$W,'BC tuần'!$A$69)</f>
        <v>0</v>
      </c>
      <c r="L71" s="239">
        <f t="shared" ref="L71:L77" si="25">+I71+K71</f>
        <v>147941778.69999999</v>
      </c>
      <c r="M71" s="240">
        <f>+F71+G71+H71+J71</f>
        <v>4</v>
      </c>
    </row>
    <row r="72" spans="1:13" ht="15" hidden="1" x14ac:dyDescent="0.2">
      <c r="D72" s="129">
        <v>2</v>
      </c>
      <c r="E72" s="132" t="s">
        <v>87</v>
      </c>
      <c r="F72" s="143">
        <f>COUNTIFS('Data Doanh số'!$P:$P,'BC tuần'!E72,'Data Doanh số'!$I:$I,"Thiết kế",'Data Doanh số'!$AA:$AA,'BC tuần'!$A$69)</f>
        <v>0</v>
      </c>
      <c r="G72" s="143">
        <f>COUNTIFS('Data Doanh số'!$P:$P,'BC tuần'!$E72,'Data Doanh số'!$I:$I,"Thi công",'Data Doanh số'!$AA:$AA,'BC tuần'!$A$69)</f>
        <v>0</v>
      </c>
      <c r="H72" s="171">
        <f>COUNTIFS('Data Doanh số'!$P:$P,'BC tuần'!$E72,'Data Doanh số'!$I:$I,"&lt;&gt;Thi công",'Data Doanh số'!$I:$I,"&lt;&gt;Thiết kế",'Data Doanh số'!$I:$I,"&lt;&gt;Hợp đồng khung",'Data Doanh số'!$AA:$AA,'BC tuần'!$A$69)</f>
        <v>0</v>
      </c>
      <c r="I72" s="133">
        <f>SUMIFS('Data Doanh số'!$J:$J,'Data Doanh số'!$P:$P,'BC tuần'!$E72,'Data Doanh số'!$AA:$AA,'BC tuần'!$A$69)</f>
        <v>0</v>
      </c>
      <c r="J72" s="133">
        <f>COUNTIFS('HĐ Khung chuyển đổi TC'!$L:$L,'BC tuần'!$E72,'HĐ Khung chuyển đổi TC'!$W:$W,'BC tuần'!$A$69)</f>
        <v>0</v>
      </c>
      <c r="K72" s="133">
        <f>SUMIFS('HĐ Khung chuyển đổi TC'!$I:$I,'HĐ Khung chuyển đổi TC'!$L:$L,'BC tuần'!$E72,'HĐ Khung chuyển đổi TC'!$W:$W,'BC tuần'!$A$69)</f>
        <v>0</v>
      </c>
      <c r="L72" s="239">
        <f t="shared" si="25"/>
        <v>0</v>
      </c>
      <c r="M72" s="240">
        <f t="shared" ref="M72:M83" si="26">+F72+G72+H72+J72</f>
        <v>0</v>
      </c>
    </row>
    <row r="73" spans="1:13" ht="15" x14ac:dyDescent="0.2">
      <c r="D73" s="129">
        <v>3</v>
      </c>
      <c r="E73" s="132" t="s">
        <v>42</v>
      </c>
      <c r="F73" s="143">
        <f>COUNTIFS('Data Doanh số'!$P:$P,'BC tuần'!E73,'Data Doanh số'!$I:$I,"Thiết kế",'Data Doanh số'!$AA:$AA,'BC tuần'!$A$69)</f>
        <v>3</v>
      </c>
      <c r="G73" s="143">
        <f>COUNTIFS('Data Doanh số'!$P:$P,'BC tuần'!$E73,'Data Doanh số'!$I:$I,"Thi công",'Data Doanh số'!$AA:$AA,'BC tuần'!$A$69)</f>
        <v>3</v>
      </c>
      <c r="H73" s="171">
        <f>COUNTIFS('Data Doanh số'!$P:$P,'BC tuần'!$E73,'Data Doanh số'!$I:$I,"&lt;&gt;Thi công",'Data Doanh số'!$I:$I,"&lt;&gt;Thiết kế",'Data Doanh số'!$I:$I,"&lt;&gt;Hợp đồng khung",'Data Doanh số'!$AA:$AA,'BC tuần'!$A$69)</f>
        <v>1</v>
      </c>
      <c r="I73" s="133">
        <f>SUMIFS('Data Doanh số'!$J:$J,'Data Doanh số'!$P:$P,'BC tuần'!$E73,'Data Doanh số'!$AA:$AA,'BC tuần'!$A$69)</f>
        <v>810084258.44074082</v>
      </c>
      <c r="J73" s="133">
        <f>COUNTIFS('HĐ Khung chuyển đổi TC'!$L:$L,'BC tuần'!$E73,'HĐ Khung chuyển đổi TC'!$W:$W,'BC tuần'!$A$69)</f>
        <v>0</v>
      </c>
      <c r="K73" s="133">
        <f>SUMIFS('HĐ Khung chuyển đổi TC'!$I:$I,'HĐ Khung chuyển đổi TC'!$L:$L,'BC tuần'!$E73,'HĐ Khung chuyển đổi TC'!$W:$W,'BC tuần'!$A$69)</f>
        <v>0</v>
      </c>
      <c r="L73" s="239">
        <f t="shared" si="25"/>
        <v>810084258.44074082</v>
      </c>
      <c r="M73" s="240">
        <f t="shared" si="26"/>
        <v>7</v>
      </c>
    </row>
    <row r="74" spans="1:13" ht="15" hidden="1" x14ac:dyDescent="0.2">
      <c r="D74" s="129">
        <v>4</v>
      </c>
      <c r="E74" s="132" t="s">
        <v>105</v>
      </c>
      <c r="F74" s="143">
        <f>COUNTIFS('Data Doanh số'!$P:$P,'BC tuần'!E74,'Data Doanh số'!$I:$I,"Thiết kế",'Data Doanh số'!$AA:$AA,'BC tuần'!$A$69)</f>
        <v>0</v>
      </c>
      <c r="G74" s="143">
        <f>COUNTIFS('Data Doanh số'!$P:$P,'BC tuần'!$E74,'Data Doanh số'!$I:$I,"Thi công",'Data Doanh số'!$AA:$AA,'BC tuần'!$A$69)</f>
        <v>0</v>
      </c>
      <c r="H74" s="171">
        <f>COUNTIFS('Data Doanh số'!$P:$P,'BC tuần'!$E74,'Data Doanh số'!$I:$I,"&lt;&gt;Thi công",'Data Doanh số'!$I:$I,"&lt;&gt;Thiết kế",'Data Doanh số'!$I:$I,"&lt;&gt;Hợp đồng khung",'Data Doanh số'!$AA:$AA,'BC tuần'!$A$69)</f>
        <v>0</v>
      </c>
      <c r="I74" s="133">
        <f>SUMIFS('Data Doanh số'!$J:$J,'Data Doanh số'!$P:$P,'BC tuần'!$E74,'Data Doanh số'!$AA:$AA,'BC tuần'!$A$69)</f>
        <v>0</v>
      </c>
      <c r="J74" s="133">
        <f>COUNTIFS('HĐ Khung chuyển đổi TC'!$L:$L,'BC tuần'!$E74,'HĐ Khung chuyển đổi TC'!$W:$W,'BC tuần'!$A$69)</f>
        <v>0</v>
      </c>
      <c r="K74" s="133">
        <f>SUMIFS('HĐ Khung chuyển đổi TC'!$I:$I,'HĐ Khung chuyển đổi TC'!$L:$L,'BC tuần'!$E74,'HĐ Khung chuyển đổi TC'!$W:$W,'BC tuần'!$A$69)</f>
        <v>0</v>
      </c>
      <c r="L74" s="239">
        <f t="shared" si="25"/>
        <v>0</v>
      </c>
      <c r="M74" s="240">
        <f t="shared" si="26"/>
        <v>0</v>
      </c>
    </row>
    <row r="75" spans="1:13" ht="15" x14ac:dyDescent="0.2">
      <c r="D75" s="129">
        <v>5</v>
      </c>
      <c r="E75" s="132" t="s">
        <v>83</v>
      </c>
      <c r="F75" s="143">
        <f>COUNTIFS('Data Doanh số'!$P:$P,'BC tuần'!E75,'Data Doanh số'!$I:$I,"Thiết kế",'Data Doanh số'!$AA:$AA,'BC tuần'!$A$69)</f>
        <v>4</v>
      </c>
      <c r="G75" s="143">
        <f>COUNTIFS('Data Doanh số'!$P:$P,'BC tuần'!$E75,'Data Doanh số'!$I:$I,"Thi công",'Data Doanh số'!$AA:$AA,'BC tuần'!$A$69)</f>
        <v>4</v>
      </c>
      <c r="H75" s="171">
        <f>COUNTIFS('Data Doanh số'!$P:$P,'BC tuần'!$E75,'Data Doanh số'!$I:$I,"&lt;&gt;Thi công",'Data Doanh số'!$I:$I,"&lt;&gt;Thiết kế",'Data Doanh số'!$I:$I,"&lt;&gt;Hợp đồng khung",'Data Doanh số'!$AA:$AA,'BC tuần'!$A$69)</f>
        <v>0</v>
      </c>
      <c r="I75" s="133">
        <f>SUMIFS('Data Doanh số'!$J:$J,'Data Doanh số'!$P:$P,'BC tuần'!$E75,'Data Doanh số'!$AA:$AA,'BC tuần'!$A$69)</f>
        <v>687777782.81481481</v>
      </c>
      <c r="J75" s="133">
        <f>COUNTIFS('HĐ Khung chuyển đổi TC'!$L:$L,'BC tuần'!$E75,'HĐ Khung chuyển đổi TC'!$W:$W,'BC tuần'!$A$69)</f>
        <v>0</v>
      </c>
      <c r="K75" s="133">
        <f>SUMIFS('HĐ Khung chuyển đổi TC'!$I:$I,'HĐ Khung chuyển đổi TC'!$L:$L,'BC tuần'!$E75,'HĐ Khung chuyển đổi TC'!$W:$W,'BC tuần'!$A$69)</f>
        <v>0</v>
      </c>
      <c r="L75" s="239">
        <f t="shared" si="25"/>
        <v>687777782.81481481</v>
      </c>
      <c r="M75" s="240">
        <f t="shared" si="26"/>
        <v>8</v>
      </c>
    </row>
    <row r="76" spans="1:13" ht="15" x14ac:dyDescent="0.2">
      <c r="D76" s="129">
        <v>6</v>
      </c>
      <c r="E76" s="132" t="s">
        <v>140</v>
      </c>
      <c r="F76" s="143">
        <f>COUNTIFS('Data Doanh số'!$P:$P,'BC tuần'!E76,'Data Doanh số'!$I:$I,"Thiết kế",'Data Doanh số'!$AA:$AA,'BC tuần'!$A$69)</f>
        <v>2</v>
      </c>
      <c r="G76" s="143">
        <f>COUNTIFS('Data Doanh số'!$P:$P,'BC tuần'!$E76,'Data Doanh số'!$I:$I,"Thi công",'Data Doanh số'!$AA:$AA,'BC tuần'!$A$69)</f>
        <v>1</v>
      </c>
      <c r="H76" s="171">
        <f>COUNTIFS('Data Doanh số'!$P:$P,'BC tuần'!$E76,'Data Doanh số'!$I:$I,"&lt;&gt;Thi công",'Data Doanh số'!$I:$I,"&lt;&gt;Thiết kế",'Data Doanh số'!$I:$I,"&lt;&gt;Hợp đồng khung",'Data Doanh số'!$AA:$AA,'BC tuần'!$A$69)</f>
        <v>0</v>
      </c>
      <c r="I76" s="133">
        <f>SUMIFS('Data Doanh số'!$J:$J,'Data Doanh số'!$P:$P,'BC tuần'!$E76,'Data Doanh số'!$AA:$AA,'BC tuần'!$A$69)</f>
        <v>377481481.37037033</v>
      </c>
      <c r="J76" s="133">
        <f>COUNTIFS('HĐ Khung chuyển đổi TC'!$L:$L,'BC tuần'!$E76,'HĐ Khung chuyển đổi TC'!$W:$W,'BC tuần'!$A$69)</f>
        <v>0</v>
      </c>
      <c r="K76" s="133">
        <f>SUMIFS('HĐ Khung chuyển đổi TC'!$I:$I,'HĐ Khung chuyển đổi TC'!$L:$L,'BC tuần'!$E76,'HĐ Khung chuyển đổi TC'!$W:$W,'BC tuần'!$A$69)</f>
        <v>0</v>
      </c>
      <c r="L76" s="239">
        <f t="shared" si="25"/>
        <v>377481481.37037033</v>
      </c>
      <c r="M76" s="240">
        <f t="shared" si="26"/>
        <v>3</v>
      </c>
    </row>
    <row r="77" spans="1:13" ht="15" x14ac:dyDescent="0.2">
      <c r="D77" s="129">
        <v>8</v>
      </c>
      <c r="E77" s="132" t="s">
        <v>113</v>
      </c>
      <c r="F77" s="143">
        <f>COUNTIFS('Data Doanh số'!$P:$P,'BC tuần'!E77,'Data Doanh số'!$I:$I,"Thiết kế",'Data Doanh số'!$AA:$AA,'BC tuần'!$A$69)</f>
        <v>1</v>
      </c>
      <c r="G77" s="143">
        <f>COUNTIFS('Data Doanh số'!$P:$P,'BC tuần'!$E77,'Data Doanh số'!$I:$I,"Thi công",'Data Doanh số'!$AA:$AA,'BC tuần'!$A$69)</f>
        <v>2</v>
      </c>
      <c r="H77" s="171">
        <f>COUNTIFS('Data Doanh số'!$P:$P,'BC tuần'!$E77,'Data Doanh số'!$I:$I,"&lt;&gt;Thi công",'Data Doanh số'!$I:$I,"&lt;&gt;Thiết kế",'Data Doanh số'!$I:$I,"&lt;&gt;Hợp đồng khung",'Data Doanh số'!$AA:$AA,'BC tuần'!$A$69)</f>
        <v>0</v>
      </c>
      <c r="I77" s="133">
        <f>SUMIFS('Data Doanh số'!$J:$J,'Data Doanh số'!$P:$P,'BC tuần'!$E77,'Data Doanh số'!$AA:$AA,'BC tuần'!$A$69)</f>
        <v>1253960648.2222223</v>
      </c>
      <c r="J77" s="133">
        <f>COUNTIFS('HĐ Khung chuyển đổi TC'!$L:$L,'BC tuần'!$E77,'HĐ Khung chuyển đổi TC'!$W:$W,'BC tuần'!$A$69)</f>
        <v>0</v>
      </c>
      <c r="K77" s="133">
        <f>SUMIFS('HĐ Khung chuyển đổi TC'!$I:$I,'HĐ Khung chuyển đổi TC'!$L:$L,'BC tuần'!$E77,'HĐ Khung chuyển đổi TC'!$W:$W,'BC tuần'!$A$69)</f>
        <v>0</v>
      </c>
      <c r="L77" s="239">
        <f t="shared" si="25"/>
        <v>1253960648.2222223</v>
      </c>
      <c r="M77" s="240">
        <f t="shared" si="26"/>
        <v>3</v>
      </c>
    </row>
    <row r="78" spans="1:13" x14ac:dyDescent="0.2">
      <c r="D78" s="135" t="s">
        <v>527</v>
      </c>
      <c r="E78" s="136" t="s">
        <v>403</v>
      </c>
      <c r="F78" s="172">
        <f>SUBTOTAL(9,F79:F83)</f>
        <v>1</v>
      </c>
      <c r="G78" s="172">
        <f t="shared" ref="G78:M78" si="27">SUBTOTAL(9,G79:G83)</f>
        <v>2</v>
      </c>
      <c r="H78" s="172">
        <f t="shared" si="27"/>
        <v>0</v>
      </c>
      <c r="I78" s="172">
        <f t="shared" si="27"/>
        <v>4662324855</v>
      </c>
      <c r="J78" s="172">
        <f t="shared" si="27"/>
        <v>1</v>
      </c>
      <c r="K78" s="172">
        <f t="shared" si="27"/>
        <v>62801758.333333328</v>
      </c>
      <c r="L78" s="172">
        <f t="shared" si="27"/>
        <v>4725126613.333333</v>
      </c>
      <c r="M78" s="172">
        <f t="shared" si="27"/>
        <v>4</v>
      </c>
    </row>
    <row r="79" spans="1:13" ht="15" hidden="1" x14ac:dyDescent="0.2">
      <c r="D79" s="129">
        <v>1</v>
      </c>
      <c r="E79" s="132" t="s">
        <v>445</v>
      </c>
      <c r="F79" s="143">
        <f>COUNTIFS('Data Doanh số'!$P:$P,'BC tuần'!E79,'Data Doanh số'!$I:$I,"Thiết kế",'Data Doanh số'!$AA:$AA,'BC tuần'!$A$69)</f>
        <v>0</v>
      </c>
      <c r="G79" s="143">
        <f>COUNTIFS('Data Doanh số'!$P:$P,'BC tuần'!$E79,'Data Doanh số'!$I:$I,"Thi công",'Data Doanh số'!$AA:$AA,'BC tuần'!$A$69)</f>
        <v>0</v>
      </c>
      <c r="H79" s="171">
        <f>COUNTIFS('Data Doanh số'!$P:$P,'BC tuần'!$E79,'Data Doanh số'!$I:$I,"&lt;&gt;Thi công",'Data Doanh số'!$I:$I,"&lt;&gt;Thiết kế",'Data Doanh số'!$I:$I,"&lt;&gt;Hợp đồng khung",'Data Doanh số'!$AA:$AA,'BC tuần'!$A$69)</f>
        <v>0</v>
      </c>
      <c r="I79" s="133">
        <f>SUMIFS('Data Doanh số'!$J:$J,'Data Doanh số'!$P:$P,'BC tuần'!$E79,'Data Doanh số'!$AA:$AA,'BC tuần'!$A$69)</f>
        <v>0</v>
      </c>
      <c r="J79" s="133">
        <f>COUNTIFS('HĐ Khung chuyển đổi TC'!$L:$L,'BC tuần'!$E79,'HĐ Khung chuyển đổi TC'!$T:$T,'BC tuần'!$A$35)</f>
        <v>0</v>
      </c>
      <c r="K79" s="133">
        <f>SUMIFS('HĐ Khung chuyển đổi TC'!$I:$I,'HĐ Khung chuyển đổi TC'!$L:$L,'BC tuần'!$E79,'HĐ Khung chuyển đổi TC'!$W:$W,'BC tuần'!$A$69)</f>
        <v>0</v>
      </c>
      <c r="L79" s="239">
        <f>+I79+K79</f>
        <v>0</v>
      </c>
      <c r="M79" s="240">
        <f t="shared" si="26"/>
        <v>0</v>
      </c>
    </row>
    <row r="80" spans="1:13" ht="15" hidden="1" x14ac:dyDescent="0.2">
      <c r="D80" s="129">
        <v>3</v>
      </c>
      <c r="E80" s="132" t="s">
        <v>55</v>
      </c>
      <c r="F80" s="143">
        <f>COUNTIFS('Data Doanh số'!$P:$P,'BC tuần'!E80,'Data Doanh số'!$I:$I,"Thiết kế",'Data Doanh số'!$AA:$AA,'BC tuần'!$A$69)</f>
        <v>0</v>
      </c>
      <c r="G80" s="143">
        <f>COUNTIFS('Data Doanh số'!$P:$P,'BC tuần'!$E80,'Data Doanh số'!$I:$I,"Thi công",'Data Doanh số'!$AA:$AA,'BC tuần'!$A$69)</f>
        <v>0</v>
      </c>
      <c r="H80" s="171">
        <f>COUNTIFS('Data Doanh số'!$P:$P,'BC tuần'!$E80,'Data Doanh số'!$I:$I,"&lt;&gt;Thi công",'Data Doanh số'!$I:$I,"&lt;&gt;Thiết kế",'Data Doanh số'!$I:$I,"&lt;&gt;Hợp đồng khung",'Data Doanh số'!$AA:$AA,'BC tuần'!$A$69)</f>
        <v>0</v>
      </c>
      <c r="I80" s="133">
        <f>SUMIFS('Data Doanh số'!$J:$J,'Data Doanh số'!$P:$P,'BC tuần'!$E80,'Data Doanh số'!$AA:$AA,'BC tuần'!$A$69)</f>
        <v>0</v>
      </c>
      <c r="J80" s="133">
        <f>COUNTIFS('HĐ Khung chuyển đổi TC'!$L:$L,'BC tuần'!$E80,'HĐ Khung chuyển đổi TC'!$T:$T,'BC tuần'!$A$35)</f>
        <v>0</v>
      </c>
      <c r="K80" s="133">
        <f>SUMIFS('HĐ Khung chuyển đổi TC'!$I:$I,'HĐ Khung chuyển đổi TC'!$L:$L,'BC tuần'!$E80,'HĐ Khung chuyển đổi TC'!$W:$W,'BC tuần'!$A$69)</f>
        <v>0</v>
      </c>
      <c r="L80" s="239">
        <f>+I80+K80</f>
        <v>0</v>
      </c>
      <c r="M80" s="240">
        <f t="shared" si="26"/>
        <v>0</v>
      </c>
    </row>
    <row r="81" spans="4:15" ht="15" x14ac:dyDescent="0.2">
      <c r="D81" s="129">
        <v>1</v>
      </c>
      <c r="E81" s="132" t="s">
        <v>312</v>
      </c>
      <c r="F81" s="143">
        <f>COUNTIFS('Data Doanh số'!$P:$P,'BC tuần'!E81,'Data Doanh số'!$I:$I,"Thiết kế",'Data Doanh số'!$AA:$AA,'BC tuần'!$A$69)</f>
        <v>1</v>
      </c>
      <c r="G81" s="143">
        <f>COUNTIFS('Data Doanh số'!$P:$P,'BC tuần'!$E81,'Data Doanh số'!$I:$I,"Thi công",'Data Doanh số'!$AA:$AA,'BC tuần'!$A$69)</f>
        <v>2</v>
      </c>
      <c r="H81" s="171">
        <f>COUNTIFS('Data Doanh số'!$P:$P,'BC tuần'!$E81,'Data Doanh số'!$I:$I,"&lt;&gt;Thi công",'Data Doanh số'!$I:$I,"&lt;&gt;Thiết kế",'Data Doanh số'!$I:$I,"&lt;&gt;Hợp đồng khung",'Data Doanh số'!$AA:$AA,'BC tuần'!$A$69)</f>
        <v>0</v>
      </c>
      <c r="I81" s="133">
        <f>SUMIFS('Data Doanh số'!$J:$J,'Data Doanh số'!$P:$P,'BC tuần'!$E81,'Data Doanh số'!$AA:$AA,'BC tuần'!$A$69)</f>
        <v>4662324855</v>
      </c>
      <c r="J81" s="133">
        <f>COUNTIFS('HĐ Khung chuyển đổi TC'!$L:$L,'BC tuần'!$E81,'HĐ Khung chuyển đổi TC'!$W:$W,'BC tuần'!$A$69)</f>
        <v>0</v>
      </c>
      <c r="K81" s="133">
        <f>SUMIFS('HĐ Khung chuyển đổi TC'!$I:$I,'HĐ Khung chuyển đổi TC'!$L:$L,'BC tuần'!$E81,'HĐ Khung chuyển đổi TC'!$W:$W,'BC tuần'!$A$69)</f>
        <v>0</v>
      </c>
      <c r="L81" s="239">
        <f>+I81+K81</f>
        <v>4662324855</v>
      </c>
      <c r="M81" s="240">
        <f t="shared" si="26"/>
        <v>3</v>
      </c>
    </row>
    <row r="82" spans="4:15" ht="15" x14ac:dyDescent="0.2">
      <c r="D82" s="129">
        <v>2</v>
      </c>
      <c r="E82" s="132" t="s">
        <v>236</v>
      </c>
      <c r="F82" s="143">
        <f>COUNTIFS('Data Doanh số'!$P:$P,'BC tuần'!E82,'Data Doanh số'!$I:$I,"Thiết kế",'Data Doanh số'!$AA:$AA,'BC tuần'!$A$69)</f>
        <v>0</v>
      </c>
      <c r="G82" s="143">
        <f>COUNTIFS('Data Doanh số'!$P:$P,'BC tuần'!$E82,'Data Doanh số'!$I:$I,"Thi công",'Data Doanh số'!$AA:$AA,'BC tuần'!$A$69)</f>
        <v>0</v>
      </c>
      <c r="H82" s="171">
        <f>COUNTIFS('Data Doanh số'!$P:$P,'BC tuần'!$E82,'Data Doanh số'!$I:$I,"&lt;&gt;Thi công",'Data Doanh số'!$I:$I,"&lt;&gt;Thiết kế",'Data Doanh số'!$I:$I,"&lt;&gt;Hợp đồng khung",'Data Doanh số'!$AA:$AA,'BC tuần'!$A$69)</f>
        <v>0</v>
      </c>
      <c r="I82" s="133">
        <f>SUMIFS('Data Doanh số'!$J:$J,'Data Doanh số'!$P:$P,'BC tuần'!$E82,'Data Doanh số'!$AA:$AA,'BC tuần'!$A$69)</f>
        <v>0</v>
      </c>
      <c r="J82" s="133">
        <f>COUNTIFS('HĐ Khung chuyển đổi TC'!$L:$L,'BC tuần'!$E82,'HĐ Khung chuyển đổi TC'!$W:$W,'BC tuần'!$A$69)</f>
        <v>0</v>
      </c>
      <c r="K82" s="133">
        <f>SUMIFS('HĐ Khung chuyển đổi TC'!$I:$I,'HĐ Khung chuyển đổi TC'!$L:$L,'BC tuần'!$E82,'HĐ Khung chuyển đổi TC'!$W:$W,'BC tuần'!$A$69)</f>
        <v>0</v>
      </c>
      <c r="L82" s="239">
        <f>+I82+K82</f>
        <v>0</v>
      </c>
      <c r="M82" s="240">
        <f t="shared" si="26"/>
        <v>0</v>
      </c>
    </row>
    <row r="83" spans="4:15" ht="15" x14ac:dyDescent="0.2">
      <c r="D83" s="129">
        <v>3</v>
      </c>
      <c r="E83" s="132" t="s">
        <v>153</v>
      </c>
      <c r="F83" s="143">
        <f>COUNTIFS('Data Doanh số'!$P:$P,'BC tuần'!E83,'Data Doanh số'!$I:$I,"Thiết kế",'Data Doanh số'!$AA:$AA,'BC tuần'!$A$69)</f>
        <v>0</v>
      </c>
      <c r="G83" s="143">
        <f>COUNTIFS('Data Doanh số'!$P:$P,'BC tuần'!$E83,'Data Doanh số'!$I:$I,"Thi công",'Data Doanh số'!$AA:$AA,'BC tuần'!$A$69)</f>
        <v>0</v>
      </c>
      <c r="H83" s="171">
        <f>COUNTIFS('Data Doanh số'!$P:$P,'BC tuần'!$E83,'Data Doanh số'!$I:$I,"&lt;&gt;Thi công",'Data Doanh số'!$I:$I,"&lt;&gt;Thiết kế",'Data Doanh số'!$I:$I,"&lt;&gt;Hợp đồng khung",'Data Doanh số'!$AA:$AA,'BC tuần'!$A$69)</f>
        <v>0</v>
      </c>
      <c r="I83" s="133">
        <f>SUMIFS('Data Doanh số'!$J:$J,'Data Doanh số'!$P:$P,'BC tuần'!$E83,'Data Doanh số'!$AA:$AA,'BC tuần'!$A$69)</f>
        <v>0</v>
      </c>
      <c r="J83" s="133">
        <f>COUNTIFS('HĐ Khung chuyển đổi TC'!$L:$L,'BC tuần'!$E83,'HĐ Khung chuyển đổi TC'!$W:$W,'BC tuần'!$A$69)</f>
        <v>1</v>
      </c>
      <c r="K83" s="133">
        <f>SUMIFS('HĐ Khung chuyển đổi TC'!$I:$I,'HĐ Khung chuyển đổi TC'!$L:$L,'BC tuần'!$E83,'HĐ Khung chuyển đổi TC'!$W:$W,'BC tuần'!$A$69)</f>
        <v>62801758.333333328</v>
      </c>
      <c r="L83" s="239">
        <f>+I83+K83</f>
        <v>62801758.333333328</v>
      </c>
      <c r="M83" s="240">
        <f t="shared" si="26"/>
        <v>1</v>
      </c>
    </row>
    <row r="84" spans="4:15" x14ac:dyDescent="0.2">
      <c r="D84" s="135" t="s">
        <v>528</v>
      </c>
      <c r="E84" s="136" t="s">
        <v>405</v>
      </c>
      <c r="F84" s="172">
        <f>SUBTOTAL(9,F85:F91)</f>
        <v>8</v>
      </c>
      <c r="G84" s="172">
        <f t="shared" ref="G84:M84" si="28">SUBTOTAL(9,G85:G90)</f>
        <v>2</v>
      </c>
      <c r="H84" s="172">
        <f t="shared" si="28"/>
        <v>0</v>
      </c>
      <c r="I84" s="172">
        <f t="shared" si="28"/>
        <v>1916724322.0938268</v>
      </c>
      <c r="J84" s="172">
        <f t="shared" si="28"/>
        <v>0</v>
      </c>
      <c r="K84" s="172">
        <f t="shared" si="28"/>
        <v>0</v>
      </c>
      <c r="L84" s="172">
        <f t="shared" si="28"/>
        <v>1916724322.0938268</v>
      </c>
      <c r="M84" s="172">
        <f t="shared" si="28"/>
        <v>10</v>
      </c>
    </row>
    <row r="85" spans="4:15" ht="15" x14ac:dyDescent="0.2">
      <c r="D85" s="129">
        <v>1</v>
      </c>
      <c r="E85" s="132" t="s">
        <v>210</v>
      </c>
      <c r="F85" s="143">
        <f>COUNTIFS('Data Doanh số'!$P:$P,'BC tuần'!E85,'Data Doanh số'!$I:$I,"Thiết kế",'Data Doanh số'!$AA:$AA,'BC tuần'!$A$69)</f>
        <v>1</v>
      </c>
      <c r="G85" s="143">
        <f>COUNTIFS('Data Doanh số'!$P:$P,'BC tuần'!$E85,'Data Doanh số'!$I:$I,"Thi công",'Data Doanh số'!$AA:$AA,'BC tuần'!$A$69)</f>
        <v>1</v>
      </c>
      <c r="H85" s="171">
        <f>COUNTIFS('Data Doanh số'!$P:$P,'BC tuần'!$E85,'Data Doanh số'!$I:$I,"&lt;&gt;Thi công",'Data Doanh số'!$I:$I,"&lt;&gt;Thiết kế",'Data Doanh số'!$I:$I,"&lt;&gt;Hợp đồng khung",'Data Doanh số'!$AA:$AA,'BC tuần'!$A$69)</f>
        <v>0</v>
      </c>
      <c r="I85" s="133">
        <f>SUMIFS('Data Doanh số'!$J:$J,'Data Doanh số'!$P:$P,'BC tuần'!$E85,'Data Doanh số'!$AA:$AA,'BC tuần'!$A$69)</f>
        <v>1332256035.4938269</v>
      </c>
      <c r="J85" s="133">
        <f>COUNTIFS('HĐ Khung chuyển đổi TC'!$L:$L,'BC tuần'!$E85,'HĐ Khung chuyển đổi TC'!$W:$W,'BC tuần'!$A$69)</f>
        <v>0</v>
      </c>
      <c r="K85" s="133">
        <f>SUMIFS('HĐ Khung chuyển đổi TC'!$I:$I,'HĐ Khung chuyển đổi TC'!$L:$L,'BC tuần'!$E85,'HĐ Khung chuyển đổi TC'!$W:$W,'BC tuần'!$A$69)</f>
        <v>0</v>
      </c>
      <c r="L85" s="239">
        <f t="shared" ref="L85:L91" si="29">+I85+K85</f>
        <v>1332256035.4938269</v>
      </c>
      <c r="M85" s="240">
        <f t="shared" ref="M85:M91" si="30">+F85+G85+H85+J85</f>
        <v>2</v>
      </c>
      <c r="O85" s="259"/>
    </row>
    <row r="86" spans="4:15" ht="15" x14ac:dyDescent="0.2">
      <c r="D86" s="129">
        <v>2</v>
      </c>
      <c r="E86" s="132" t="s">
        <v>170</v>
      </c>
      <c r="F86" s="143">
        <f>COUNTIFS('Data Doanh số'!$P:$P,'BC tuần'!E86,'Data Doanh số'!$I:$I,"Thiết kế",'Data Doanh số'!$AA:$AA,'BC tuần'!$A$69)</f>
        <v>1</v>
      </c>
      <c r="G86" s="143">
        <f>COUNTIFS('Data Doanh số'!$P:$P,'BC tuần'!$E86,'Data Doanh số'!$I:$I,"Thi công",'Data Doanh số'!$AA:$AA,'BC tuần'!$A$69)</f>
        <v>0</v>
      </c>
      <c r="H86" s="171">
        <f>COUNTIFS('Data Doanh số'!$P:$P,'BC tuần'!$E86,'Data Doanh số'!$I:$I,"&lt;&gt;Thi công",'Data Doanh số'!$I:$I,"&lt;&gt;Thiết kế",'Data Doanh số'!$I:$I,"&lt;&gt;Hợp đồng khung",'Data Doanh số'!$AA:$AA,'BC tuần'!$A$69)</f>
        <v>0</v>
      </c>
      <c r="I86" s="133">
        <f>SUMIFS('Data Doanh số'!$J:$J,'Data Doanh số'!$P:$P,'BC tuần'!$E86,'Data Doanh số'!$AA:$AA,'BC tuần'!$A$69)</f>
        <v>24148148</v>
      </c>
      <c r="J86" s="133">
        <f>COUNTIFS('HĐ Khung chuyển đổi TC'!$L:$L,'BC tuần'!$E86,'HĐ Khung chuyển đổi TC'!$W:$W,'BC tuần'!$A$69)</f>
        <v>0</v>
      </c>
      <c r="K86" s="133">
        <f>SUMIFS('HĐ Khung chuyển đổi TC'!$I:$I,'HĐ Khung chuyển đổi TC'!$L:$L,'BC tuần'!$E86,'HĐ Khung chuyển đổi TC'!$W:$W,'BC tuần'!$A$69)</f>
        <v>0</v>
      </c>
      <c r="L86" s="239">
        <f t="shared" si="29"/>
        <v>24148148</v>
      </c>
      <c r="M86" s="240">
        <f t="shared" si="30"/>
        <v>1</v>
      </c>
    </row>
    <row r="87" spans="4:15" ht="15" x14ac:dyDescent="0.2">
      <c r="D87" s="129">
        <v>3</v>
      </c>
      <c r="E87" s="132" t="s">
        <v>63</v>
      </c>
      <c r="F87" s="143">
        <f>COUNTIFS('Data Doanh số'!$P:$P,'BC tuần'!E87,'Data Doanh số'!$I:$I,"Thiết kế",'Data Doanh số'!$AA:$AA,'BC tuần'!$A$69)</f>
        <v>2</v>
      </c>
      <c r="G87" s="143">
        <f>COUNTIFS('Data Doanh số'!$P:$P,'BC tuần'!$E87,'Data Doanh số'!$I:$I,"Thi công",'Data Doanh số'!$AA:$AA,'BC tuần'!$A$69)</f>
        <v>1</v>
      </c>
      <c r="H87" s="171">
        <f>COUNTIFS('Data Doanh số'!$P:$P,'BC tuần'!$E87,'Data Doanh số'!$I:$I,"&lt;&gt;Thi công",'Data Doanh số'!$I:$I,"&lt;&gt;Thiết kế",'Data Doanh số'!$I:$I,"&lt;&gt;Hợp đồng khung",'Data Doanh số'!$AA:$AA,'BC tuần'!$A$69)</f>
        <v>0</v>
      </c>
      <c r="I87" s="133">
        <f>SUMIFS('Data Doanh số'!$J:$J,'Data Doanh số'!$P:$P,'BC tuần'!$E87,'Data Doanh số'!$AA:$AA,'BC tuần'!$A$69)</f>
        <v>539031250</v>
      </c>
      <c r="J87" s="133">
        <f>COUNTIFS('HĐ Khung chuyển đổi TC'!$L:$L,'BC tuần'!$E87,'HĐ Khung chuyển đổi TC'!$W:$W,'BC tuần'!$A$69)</f>
        <v>0</v>
      </c>
      <c r="K87" s="133">
        <f>SUMIFS('HĐ Khung chuyển đổi TC'!$I:$I,'HĐ Khung chuyển đổi TC'!$L:$L,'BC tuần'!$E87,'HĐ Khung chuyển đổi TC'!$W:$W,'BC tuần'!$A$69)</f>
        <v>0</v>
      </c>
      <c r="L87" s="239">
        <f t="shared" si="29"/>
        <v>539031250</v>
      </c>
      <c r="M87" s="240">
        <f t="shared" si="30"/>
        <v>3</v>
      </c>
    </row>
    <row r="88" spans="4:15" ht="15" x14ac:dyDescent="0.2">
      <c r="D88" s="129">
        <v>4</v>
      </c>
      <c r="E88" s="132" t="s">
        <v>59</v>
      </c>
      <c r="F88" s="143">
        <f>COUNTIFS('Data Doanh số'!$P:$P,'BC tuần'!E88,'Data Doanh số'!$I:$I,"Thiết kế",'Data Doanh số'!$AA:$AA,'BC tuần'!$A$69)</f>
        <v>2</v>
      </c>
      <c r="G88" s="143">
        <f>COUNTIFS('Data Doanh số'!$P:$P,'BC tuần'!$E88,'Data Doanh số'!$I:$I,"Thi công",'Data Doanh số'!$AA:$AA,'BC tuần'!$A$69)</f>
        <v>0</v>
      </c>
      <c r="H88" s="171">
        <f>COUNTIFS('Data Doanh số'!$P:$P,'BC tuần'!$E88,'Data Doanh số'!$I:$I,"&lt;&gt;Thi công",'Data Doanh số'!$I:$I,"&lt;&gt;Thiết kế",'Data Doanh số'!$I:$I,"&lt;&gt;Hợp đồng khung",'Data Doanh số'!$AA:$AA,'BC tuần'!$A$69)</f>
        <v>0</v>
      </c>
      <c r="I88" s="133">
        <f>SUMIFS('Data Doanh số'!$J:$J,'Data Doanh số'!$P:$P,'BC tuần'!$E88,'Data Doanh số'!$AA:$AA,'BC tuần'!$A$69)</f>
        <v>14807407</v>
      </c>
      <c r="J88" s="133">
        <f>COUNTIFS('HĐ Khung chuyển đổi TC'!$L:$L,'BC tuần'!$E88,'HĐ Khung chuyển đổi TC'!$W:$W,'BC tuần'!$A$69)</f>
        <v>0</v>
      </c>
      <c r="K88" s="133">
        <f>SUMIFS('HĐ Khung chuyển đổi TC'!$I:$I,'HĐ Khung chuyển đổi TC'!$L:$L,'BC tuần'!$E88,'HĐ Khung chuyển đổi TC'!$W:$W,'BC tuần'!$A$69)</f>
        <v>0</v>
      </c>
      <c r="L88" s="239">
        <f t="shared" si="29"/>
        <v>14807407</v>
      </c>
      <c r="M88" s="240">
        <f t="shared" si="30"/>
        <v>2</v>
      </c>
    </row>
    <row r="89" spans="4:15" ht="15" x14ac:dyDescent="0.2">
      <c r="D89" s="129">
        <v>5</v>
      </c>
      <c r="E89" s="132" t="s">
        <v>257</v>
      </c>
      <c r="F89" s="143">
        <f>COUNTIFS('Data Doanh số'!$P:$P,'BC tuần'!E89,'Data Doanh số'!$I:$I,"Thiết kế",'Data Doanh số'!$AA:$AA,'BC tuần'!$A$69)</f>
        <v>2</v>
      </c>
      <c r="G89" s="143">
        <f>COUNTIFS('Data Doanh số'!$P:$P,'BC tuần'!$E89,'Data Doanh số'!$I:$I,"Thi công",'Data Doanh số'!$AA:$AA,'BC tuần'!$A$69)</f>
        <v>0</v>
      </c>
      <c r="H89" s="171">
        <f>COUNTIFS('Data Doanh số'!$P:$P,'BC tuần'!$E89,'Data Doanh số'!$I:$I,"&lt;&gt;Thi công",'Data Doanh số'!$I:$I,"&lt;&gt;Thiết kế",'Data Doanh số'!$I:$I,"&lt;&gt;Hợp đồng khung",'Data Doanh số'!$AA:$AA,'BC tuần'!$A$69)</f>
        <v>0</v>
      </c>
      <c r="I89" s="133">
        <f>SUMIFS('Data Doanh số'!$J:$J,'Data Doanh số'!$P:$P,'BC tuần'!$E89,'Data Doanh số'!$AA:$AA,'BC tuần'!$A$69)</f>
        <v>6481481.5999999996</v>
      </c>
      <c r="J89" s="133">
        <f>COUNTIFS('HĐ Khung chuyển đổi TC'!$L:$L,'BC tuần'!$E89,'HĐ Khung chuyển đổi TC'!$W:$W,'BC tuần'!$A$69)</f>
        <v>0</v>
      </c>
      <c r="K89" s="133">
        <f>SUMIFS('HĐ Khung chuyển đổi TC'!$I:$I,'HĐ Khung chuyển đổi TC'!$L:$L,'BC tuần'!$E89,'HĐ Khung chuyển đổi TC'!$W:$W,'BC tuần'!$A$69)</f>
        <v>0</v>
      </c>
      <c r="L89" s="239">
        <f t="shared" si="29"/>
        <v>6481481.5999999996</v>
      </c>
      <c r="M89" s="240">
        <f t="shared" si="30"/>
        <v>2</v>
      </c>
    </row>
    <row r="90" spans="4:15" ht="15" hidden="1" x14ac:dyDescent="0.2">
      <c r="D90" s="129">
        <v>6</v>
      </c>
      <c r="E90" s="132" t="s">
        <v>92</v>
      </c>
      <c r="F90" s="143">
        <f>COUNTIFS('Data Doanh số'!$P:$P,'BC tuần'!E90,'Data Doanh số'!$I:$I,"Thiết kế",'Data Doanh số'!$AA:$AA,'BC tuần'!$A$69)</f>
        <v>0</v>
      </c>
      <c r="G90" s="143">
        <f>COUNTIFS('Data Doanh số'!$P:$P,'BC tuần'!$E90,'Data Doanh số'!$I:$I,"Thi công",'Data Doanh số'!$AA:$AA,'BC tuần'!$A$69)</f>
        <v>0</v>
      </c>
      <c r="H90" s="171">
        <f>COUNTIFS('Data Doanh số'!$P:$P,'BC tuần'!$E90,'Data Doanh số'!$I:$I,"&lt;&gt;Thi công",'Data Doanh số'!$I:$I,"&lt;&gt;Thiết kế",'Data Doanh số'!$I:$I,"&lt;&gt;Hợp đồng khung",'Data Doanh số'!$AA:$AA,'BC tuần'!$A$69)</f>
        <v>0</v>
      </c>
      <c r="I90" s="133">
        <f>SUMIFS('Data Doanh số'!$J:$J,'Data Doanh số'!$P:$P,'BC tuần'!$E90,'Data Doanh số'!$AA:$AA,'BC tuần'!$A$69)</f>
        <v>0</v>
      </c>
      <c r="J90" s="133">
        <f>COUNTIFS('HĐ Khung chuyển đổi TC'!$L:$L,'BC tuần'!$E90,'HĐ Khung chuyển đổi TC'!$W:$W,'BC tuần'!$A$69)</f>
        <v>0</v>
      </c>
      <c r="K90" s="133">
        <f>SUMIFS('HĐ Khung chuyển đổi TC'!$I:$I,'HĐ Khung chuyển đổi TC'!$L:$L,'BC tuần'!$E90,'HĐ Khung chuyển đổi TC'!$W:$W,'BC tuần'!$A$69)</f>
        <v>0</v>
      </c>
      <c r="L90" s="239">
        <f t="shared" si="29"/>
        <v>0</v>
      </c>
      <c r="M90" s="240">
        <f t="shared" si="30"/>
        <v>0</v>
      </c>
    </row>
    <row r="91" spans="4:15" ht="15" x14ac:dyDescent="0.2">
      <c r="D91" s="129">
        <v>6</v>
      </c>
      <c r="E91" s="132" t="s">
        <v>529</v>
      </c>
      <c r="F91" s="143">
        <f>COUNTIFS('Data Doanh số'!$P:$P,'BC tuần'!E91,'Data Doanh số'!$I:$I,"Thiết kế",'Data Doanh số'!$AA:$AA,'BC tuần'!$A$69)</f>
        <v>0</v>
      </c>
      <c r="G91" s="143">
        <f>COUNTIFS('Data Doanh số'!$P:$P,'BC tuần'!$E91,'Data Doanh số'!$I:$I,"Thi công",'Data Doanh số'!$AA:$AA,'BC tuần'!$A$69)</f>
        <v>0</v>
      </c>
      <c r="H91" s="171">
        <f>COUNTIFS('Data Doanh số'!$P:$P,'BC tuần'!$E91,'Data Doanh số'!$I:$I,"&lt;&gt;Thi công",'Data Doanh số'!$I:$I,"&lt;&gt;Thiết kế",'Data Doanh số'!$I:$I,"&lt;&gt;Hợp đồng khung",'Data Doanh số'!$AA:$AA,'BC tuần'!$A$69)</f>
        <v>0</v>
      </c>
      <c r="I91" s="133">
        <f>SUMIFS('Data Doanh số'!$J:$J,'Data Doanh số'!$P:$P,'BC tuần'!$E91,'Data Doanh số'!$AA:$AA,'BC tuần'!$A$69)</f>
        <v>0</v>
      </c>
      <c r="J91" s="133">
        <f>COUNTIFS('HĐ Khung chuyển đổi TC'!$L:$L,'BC tuần'!$E91,'HĐ Khung chuyển đổi TC'!$W:$W,'BC tuần'!$A$69)</f>
        <v>0</v>
      </c>
      <c r="K91" s="133">
        <f>SUMIFS('HĐ Khung chuyển đổi TC'!$I:$I,'HĐ Khung chuyển đổi TC'!$L:$L,'BC tuần'!$E91,'HĐ Khung chuyển đổi TC'!$W:$W,'BC tuần'!$A$69)</f>
        <v>0</v>
      </c>
      <c r="L91" s="239">
        <f t="shared" si="29"/>
        <v>0</v>
      </c>
      <c r="M91" s="240">
        <f t="shared" si="30"/>
        <v>0</v>
      </c>
    </row>
    <row r="92" spans="4:15" x14ac:dyDescent="0.2">
      <c r="D92" s="135" t="s">
        <v>530</v>
      </c>
      <c r="E92" s="136" t="s">
        <v>442</v>
      </c>
      <c r="F92" s="172">
        <f>SUBTOTAL(9,F93:F95)</f>
        <v>0</v>
      </c>
      <c r="G92" s="172">
        <f t="shared" ref="G92:L92" si="31">SUBTOTAL(9,G93:G95)</f>
        <v>4</v>
      </c>
      <c r="H92" s="172">
        <f t="shared" si="31"/>
        <v>0</v>
      </c>
      <c r="I92" s="172">
        <f t="shared" si="31"/>
        <v>6689304743</v>
      </c>
      <c r="J92" s="172">
        <f t="shared" si="31"/>
        <v>0</v>
      </c>
      <c r="K92" s="172">
        <f t="shared" si="31"/>
        <v>0</v>
      </c>
      <c r="L92" s="172">
        <f t="shared" si="31"/>
        <v>6689304743</v>
      </c>
      <c r="M92" s="172">
        <f>SUBTOTAL(9,M93:M95)</f>
        <v>4</v>
      </c>
    </row>
    <row r="93" spans="4:15" ht="15" x14ac:dyDescent="0.2">
      <c r="D93" s="129">
        <v>1</v>
      </c>
      <c r="E93" s="132" t="s">
        <v>80</v>
      </c>
      <c r="F93" s="143">
        <f>COUNTIFS('Data Doanh số'!$P:$P,'BC tuần'!E93,'Data Doanh số'!$I:$I,"Thiết kế",'Data Doanh số'!$AA:$AA,'BC tuần'!$A$69)</f>
        <v>0</v>
      </c>
      <c r="G93" s="143">
        <f>COUNTIFS('Data Doanh số'!$P:$P,'BC tuần'!$E93,'Data Doanh số'!$I:$I,"Thi công",'Data Doanh số'!$AA:$AA,'BC tuần'!$A$69)</f>
        <v>2</v>
      </c>
      <c r="H93" s="171">
        <f>COUNTIFS('Data Doanh số'!$P:$P,'BC tuần'!$E93,'Data Doanh số'!$I:$I,"&lt;&gt;Thi công",'Data Doanh số'!$I:$I,"&lt;&gt;Thiết kế",'Data Doanh số'!$I:$I,"&lt;&gt;Hợp đồng khung",'Data Doanh số'!$AA:$AA,'BC tuần'!$A$69)</f>
        <v>0</v>
      </c>
      <c r="I93" s="133">
        <f>SUMIFS('Data Doanh số'!$J:$J,'Data Doanh số'!$P:$P,'BC tuần'!$E93,'Data Doanh số'!$AA:$AA,'BC tuần'!$A$69)</f>
        <v>6241634743</v>
      </c>
      <c r="J93" s="133">
        <f>COUNTIFS('HĐ Khung chuyển đổi TC'!$L:$L,'BC tuần'!$E93,'HĐ Khung chuyển đổi TC'!$W:$W,'BC tuần'!$A$69)</f>
        <v>0</v>
      </c>
      <c r="K93" s="133">
        <f>SUMIFS('HĐ Khung chuyển đổi TC'!$I:$I,'HĐ Khung chuyển đổi TC'!$L:$L,'BC tuần'!$E93,'HĐ Khung chuyển đổi TC'!$W:$W,'BC tuần'!$A$69)</f>
        <v>0</v>
      </c>
      <c r="L93" s="239">
        <f>+I93+K93</f>
        <v>6241634743</v>
      </c>
      <c r="M93" s="240">
        <f t="shared" ref="M93:M97" si="32">+F93+G93+H93+J93</f>
        <v>2</v>
      </c>
    </row>
    <row r="94" spans="4:15" ht="15" x14ac:dyDescent="0.2">
      <c r="D94" s="129">
        <v>2</v>
      </c>
      <c r="E94" s="132" t="s">
        <v>226</v>
      </c>
      <c r="F94" s="143">
        <f>COUNTIFS('Data Doanh số'!$P:$P,'BC tuần'!E94,'Data Doanh số'!$I:$I,"Thiết kế",'Data Doanh số'!$AA:$AA,'BC tuần'!$A$69)</f>
        <v>0</v>
      </c>
      <c r="G94" s="143">
        <f>COUNTIFS('Data Doanh số'!$P:$P,'BC tuần'!$E94,'Data Doanh số'!$I:$I,"Thi công",'Data Doanh số'!$AA:$AA,'BC tuần'!$A$69)</f>
        <v>2</v>
      </c>
      <c r="H94" s="171">
        <f>COUNTIFS('Data Doanh số'!$P:$P,'BC tuần'!$E94,'Data Doanh số'!$I:$I,"&lt;&gt;Thi công",'Data Doanh số'!$I:$I,"&lt;&gt;Thiết kế",'Data Doanh số'!$I:$I,"&lt;&gt;Hợp đồng khung",'Data Doanh số'!$AA:$AA,'BC tuần'!$A$69)</f>
        <v>0</v>
      </c>
      <c r="I94" s="133">
        <f>SUMIFS('Data Doanh số'!$J:$J,'Data Doanh số'!$P:$P,'BC tuần'!$E94,'Data Doanh số'!$AA:$AA,'BC tuần'!$A$69)</f>
        <v>447670000</v>
      </c>
      <c r="J94" s="133">
        <f>COUNTIFS('HĐ Khung chuyển đổi TC'!$L:$L,'BC tuần'!$E94,'HĐ Khung chuyển đổi TC'!$W:$W,'BC tuần'!$A$69)</f>
        <v>0</v>
      </c>
      <c r="K94" s="133">
        <f>SUMIFS('HĐ Khung chuyển đổi TC'!$I:$I,'HĐ Khung chuyển đổi TC'!$L:$L,'BC tuần'!$E94,'HĐ Khung chuyển đổi TC'!$W:$W,'BC tuần'!$A$69)</f>
        <v>0</v>
      </c>
      <c r="L94" s="239">
        <f>+I94+K94</f>
        <v>447670000</v>
      </c>
      <c r="M94" s="240">
        <f t="shared" si="32"/>
        <v>2</v>
      </c>
    </row>
    <row r="95" spans="4:15" ht="15" x14ac:dyDescent="0.2">
      <c r="D95" s="129">
        <v>3</v>
      </c>
      <c r="E95" s="132" t="s">
        <v>531</v>
      </c>
      <c r="F95" s="143">
        <f>COUNTIFS('Data Doanh số'!$P:$P,'BC tuần'!E95,'Data Doanh số'!$I:$I,"Thiết kế",'Data Doanh số'!$AA:$AA,'BC tuần'!$A$69)</f>
        <v>0</v>
      </c>
      <c r="G95" s="143">
        <f>COUNTIFS('Data Doanh số'!$P:$P,'BC tuần'!$E95,'Data Doanh số'!$I:$I,"Thi công",'Data Doanh số'!$AA:$AA,'BC tuần'!$A$69)</f>
        <v>0</v>
      </c>
      <c r="H95" s="171">
        <f>COUNTIFS('Data Doanh số'!$P:$P,'BC tuần'!$E95,'Data Doanh số'!$I:$I,"&lt;&gt;Thi công",'Data Doanh số'!$I:$I,"&lt;&gt;Thiết kế",'Data Doanh số'!$I:$I,"&lt;&gt;Hợp đồng khung",'Data Doanh số'!$AA:$AA,'BC tuần'!$A$69)</f>
        <v>0</v>
      </c>
      <c r="I95" s="133">
        <f>SUMIFS('Data Doanh số'!$J:$J,'Data Doanh số'!$P:$P,'BC tuần'!$E95,'Data Doanh số'!$AA:$AA,'BC tuần'!$A$69)</f>
        <v>0</v>
      </c>
      <c r="J95" s="133">
        <f>COUNTIFS('HĐ Khung chuyển đổi TC'!$L:$L,'BC tuần'!$E95,'HĐ Khung chuyển đổi TC'!$W:$W,'BC tuần'!$A$69)</f>
        <v>0</v>
      </c>
      <c r="K95" s="133">
        <f>SUMIFS('HĐ Khung chuyển đổi TC'!$I:$I,'HĐ Khung chuyển đổi TC'!$L:$L,'BC tuần'!$E95,'HĐ Khung chuyển đổi TC'!$W:$W,'BC tuần'!$A$69)</f>
        <v>0</v>
      </c>
      <c r="L95" s="239">
        <f>+I95+K95</f>
        <v>0</v>
      </c>
      <c r="M95" s="240">
        <f t="shared" si="32"/>
        <v>0</v>
      </c>
    </row>
    <row r="96" spans="4:15" ht="15" hidden="1" x14ac:dyDescent="0.2">
      <c r="D96" s="129">
        <v>4</v>
      </c>
      <c r="E96" s="132" t="s">
        <v>33</v>
      </c>
      <c r="F96" s="143">
        <f>COUNTIFS('Data Doanh số'!$P:$P,'BC tuần'!E96,'Data Doanh số'!$I:$I,"Thiết kế",'Data Doanh số'!$AA:$AA,'BC tuần'!$A$69)</f>
        <v>0</v>
      </c>
      <c r="G96" s="143">
        <f>COUNTIFS('Data Doanh số'!$P:$P,'BC tuần'!$E96,'Data Doanh số'!$I:$I,"Thi công",'Data Doanh số'!$AA:$AA,'BC tuần'!$A$69)</f>
        <v>0</v>
      </c>
      <c r="H96" s="171">
        <f>COUNTIFS('Data Doanh số'!$P:$P,'BC tuần'!$E96,'Data Doanh số'!$I:$I,"&lt;&gt;Thi công",'Data Doanh số'!$I:$I,"&lt;&gt;Thiết kế",'Data Doanh số'!$I:$I,"&lt;&gt;Hợp đồng khung",'Data Doanh số'!$AA:$AA,'BC tuần'!$A$69)</f>
        <v>0</v>
      </c>
      <c r="I96" s="133">
        <f>SUMIFS('Data Doanh số'!$J:$J,'Data Doanh số'!$P:$P,'BC tuần'!$E96,'Data Doanh số'!$AA:$AA,'BC tuần'!$A$69)</f>
        <v>0</v>
      </c>
      <c r="J96" s="133">
        <f>COUNTIFS('HĐ Khung chuyển đổi TC'!$L:$L,'BC tuần'!$E96,'Data Doanh số'!$AA:$AA,'BC tuần'!$A$64)</f>
        <v>0</v>
      </c>
      <c r="K96" s="133">
        <f>SUMIFS('HĐ Khung chuyển đổi TC'!$I:$I,'HĐ Khung chuyển đổi TC'!$L:$L,'BC tuần'!$E96,'HĐ Khung chuyển đổi TC'!$W:$W,'BC tuần'!$A$69)</f>
        <v>0</v>
      </c>
      <c r="L96" s="239">
        <f>+I96+K96</f>
        <v>0</v>
      </c>
      <c r="M96" s="240">
        <f t="shared" si="32"/>
        <v>0</v>
      </c>
    </row>
    <row r="97" spans="1:15" ht="15" hidden="1" x14ac:dyDescent="0.2">
      <c r="D97" s="129">
        <v>5</v>
      </c>
      <c r="E97" s="132" t="s">
        <v>126</v>
      </c>
      <c r="F97" s="143">
        <f>COUNTIFS('Data Doanh số'!$P:$P,'BC tuần'!E97,'Data Doanh số'!$I:$I,"Thiết kế",'Data Doanh số'!$AA:$AA,'BC tuần'!$A$69)</f>
        <v>0</v>
      </c>
      <c r="G97" s="143">
        <f>COUNTIFS('Data Doanh số'!$P:$P,'BC tuần'!$E97,'Data Doanh số'!$I:$I,"Thi công",'Data Doanh số'!$AA:$AA,'BC tuần'!$A$69)</f>
        <v>0</v>
      </c>
      <c r="H97" s="171">
        <f>COUNTIFS('Data Doanh số'!$P:$P,'BC tuần'!$E97,'Data Doanh số'!$I:$I,"&lt;&gt;Thi công",'Data Doanh số'!$I:$I,"&lt;&gt;Thiết kế",'Data Doanh số'!$I:$I,"&lt;&gt;Hợp đồng khung",'Data Doanh số'!$AA:$AA,'BC tuần'!$A$69)</f>
        <v>0</v>
      </c>
      <c r="I97" s="133">
        <f>SUMIFS('Data Doanh số'!$J:$J,'Data Doanh số'!$P:$P,'BC tuần'!$E97,'Data Doanh số'!$AA:$AA,'BC tuần'!$A$69)</f>
        <v>0</v>
      </c>
      <c r="J97" s="133">
        <f>COUNTIFS('HĐ Khung chuyển đổi TC'!$L:$L,'BC tuần'!$E97,'Data Doanh số'!$AA:$AA,'BC tuần'!$A$64)</f>
        <v>0</v>
      </c>
      <c r="K97" s="133">
        <f>SUMIFS('HĐ Khung chuyển đổi TC'!$I:$I,'HĐ Khung chuyển đổi TC'!$L:$L,'BC tuần'!$E97,'HĐ Khung chuyển đổi TC'!$W:$W,'BC tuần'!$A$69)</f>
        <v>0</v>
      </c>
      <c r="L97" s="239">
        <f>+I97+K97</f>
        <v>0</v>
      </c>
      <c r="M97" s="240">
        <f t="shared" si="32"/>
        <v>0</v>
      </c>
    </row>
    <row r="98" spans="1:15" ht="15" x14ac:dyDescent="0.2">
      <c r="A98" s="243"/>
      <c r="D98" s="135" t="s">
        <v>532</v>
      </c>
      <c r="E98" s="136" t="s">
        <v>117</v>
      </c>
      <c r="F98" s="172">
        <f>SUBTOTAL(9,F99:F100)</f>
        <v>0</v>
      </c>
      <c r="G98" s="172">
        <f t="shared" ref="G98:M98" si="33">SUBTOTAL(9,G99:G100)</f>
        <v>0</v>
      </c>
      <c r="H98" s="172">
        <f t="shared" si="33"/>
        <v>145</v>
      </c>
      <c r="I98" s="172">
        <f t="shared" si="33"/>
        <v>0</v>
      </c>
      <c r="J98" s="172">
        <f t="shared" si="33"/>
        <v>0</v>
      </c>
      <c r="K98" s="172">
        <f t="shared" si="33"/>
        <v>0</v>
      </c>
      <c r="L98" s="172">
        <f t="shared" si="33"/>
        <v>0</v>
      </c>
      <c r="M98" s="172">
        <f t="shared" si="33"/>
        <v>145</v>
      </c>
    </row>
    <row r="99" spans="1:15" ht="15" x14ac:dyDescent="0.2">
      <c r="D99" s="129">
        <v>1</v>
      </c>
      <c r="E99" s="132" t="s">
        <v>467</v>
      </c>
      <c r="F99" s="143">
        <f>COUNTIFS('Data Doanh số'!$P:$P,'BC tuần'!E99,'Data Doanh số'!$I:$I,"Thiết kế",'Data Doanh số'!$AA:$AA,'BC tuần'!$A$69)</f>
        <v>0</v>
      </c>
      <c r="G99" s="143">
        <f>COUNTIFS('Data Doanh số'!$P:$P,'BC tuần'!$E99,'Data Doanh số'!$I:$I,"Thi công",'Data Doanh số'!$AA:$AA,'BC tuần'!$A$69)</f>
        <v>0</v>
      </c>
      <c r="H99" s="171">
        <v>145</v>
      </c>
      <c r="I99" s="133">
        <f>SUMIFS('Data Doanh số'!$J:$J,'Data Doanh số'!$P:$P,'BC tuần'!$E99,'Data Doanh số'!$AA:$AA,'BC tuần'!$A$69)</f>
        <v>0</v>
      </c>
      <c r="J99" s="133">
        <f>COUNTIFS('HĐ Khung chuyển đổi TC'!$L:$L,'BC tuần'!$E99,'HĐ Khung chuyển đổi TC'!$W:$W,'BC tuần'!$A$69)</f>
        <v>0</v>
      </c>
      <c r="K99" s="133">
        <f>SUMIFS('HĐ Khung chuyển đổi TC'!$I:$I,'HĐ Khung chuyển đổi TC'!$L:$L,'BC tuần'!$E99,'HĐ Khung chuyển đổi TC'!$W:$W,'BC tuần'!$A$69)</f>
        <v>0</v>
      </c>
      <c r="L99" s="239">
        <f>+I99+K99</f>
        <v>0</v>
      </c>
      <c r="M99" s="240">
        <f>+F99+G99+H99+J99</f>
        <v>145</v>
      </c>
      <c r="N99" s="259"/>
    </row>
    <row r="100" spans="1:15" ht="15" hidden="1" x14ac:dyDescent="0.2">
      <c r="D100" s="129">
        <v>2</v>
      </c>
      <c r="E100" s="132" t="s">
        <v>118</v>
      </c>
      <c r="F100" s="143">
        <f>COUNTIFS('Data Doanh số'!$P:$P,'BC tuần'!E100,'Data Doanh số'!$I:$I,"Thiết kế",'Data Doanh số'!$AA:$AA,'BC tuần'!$A$69)</f>
        <v>0</v>
      </c>
      <c r="G100" s="143">
        <f>COUNTIFS('Data Doanh số'!$P:$P,'BC tuần'!$E100,'Data Doanh số'!$I:$I,"Thi công",'Data Doanh số'!$AA:$AA,'BC tuần'!$A$69)</f>
        <v>0</v>
      </c>
      <c r="H100" s="171">
        <f>COUNTIFS('Data Doanh số'!$P:$P,'BC tuần'!$E100,'Data Doanh số'!$I:$I,"&lt;&gt;Thi công",'Data Doanh số'!$I:$I,"&lt;&gt;Thiết kế",'Data Doanh số'!$I:$I,"&lt;&gt;Hợp đồng khung",'Data Doanh số'!$AA:$AA,'BC tuần'!$A$69)</f>
        <v>0</v>
      </c>
      <c r="I100" s="133">
        <f>SUMIFS('Data Doanh số'!$J:$J,'Data Doanh số'!$P:$P,'BC tuần'!$E100,'Data Doanh số'!$AA:$AA,'BC tuần'!$A$69)</f>
        <v>0</v>
      </c>
      <c r="J100" s="133">
        <f>COUNTIFS('HĐ Khung chuyển đổi TC'!$L:$L,'BC tuần'!$E100,'Data Doanh số'!$AA:$AA,'BC tuần'!$A$64)</f>
        <v>0</v>
      </c>
      <c r="K100" s="133">
        <f>SUMIFS('HĐ Khung chuyển đổi TC'!$I:$I,'HĐ Khung chuyển đổi TC'!$L:$L,'BC tuần'!$E100,'HĐ Khung chuyển đổi TC'!$W:$W,'BC tuần'!$A$69)</f>
        <v>0</v>
      </c>
      <c r="L100" s="239">
        <f>+I100+K100</f>
        <v>0</v>
      </c>
      <c r="M100" s="240">
        <f>+F100+G100+H100+J100</f>
        <v>0</v>
      </c>
    </row>
    <row r="101" spans="1:15" x14ac:dyDescent="0.2">
      <c r="D101" s="360" t="s">
        <v>447</v>
      </c>
      <c r="E101" s="360"/>
      <c r="F101" s="141">
        <f t="shared" ref="F101:M101" si="34">SUBTOTAL(9,F70:F100)</f>
        <v>20</v>
      </c>
      <c r="G101" s="141">
        <f t="shared" si="34"/>
        <v>20</v>
      </c>
      <c r="H101" s="141">
        <f t="shared" si="34"/>
        <v>147</v>
      </c>
      <c r="I101" s="141">
        <f t="shared" si="34"/>
        <v>16545599869.641975</v>
      </c>
      <c r="J101" s="141">
        <f t="shared" si="34"/>
        <v>1</v>
      </c>
      <c r="K101" s="141">
        <f t="shared" si="34"/>
        <v>62801758.333333328</v>
      </c>
      <c r="L101" s="141">
        <f t="shared" si="34"/>
        <v>16608401627.975309</v>
      </c>
      <c r="M101" s="141">
        <f t="shared" si="34"/>
        <v>188</v>
      </c>
    </row>
    <row r="104" spans="1:15" ht="15" x14ac:dyDescent="0.2">
      <c r="A104" s="243" t="s">
        <v>537</v>
      </c>
    </row>
    <row r="105" spans="1:15" ht="42.75" x14ac:dyDescent="0.2">
      <c r="D105" s="178" t="s">
        <v>0</v>
      </c>
      <c r="E105" s="178" t="s">
        <v>509</v>
      </c>
      <c r="F105" s="179" t="s">
        <v>510</v>
      </c>
      <c r="G105" s="179" t="s">
        <v>511</v>
      </c>
      <c r="H105" s="179" t="s">
        <v>538</v>
      </c>
      <c r="I105" s="179" t="s">
        <v>512</v>
      </c>
      <c r="J105" s="178" t="s">
        <v>513</v>
      </c>
      <c r="K105" s="179" t="s">
        <v>539</v>
      </c>
      <c r="L105" s="179" t="s">
        <v>533</v>
      </c>
      <c r="M105" s="179" t="s">
        <v>536</v>
      </c>
      <c r="N105" s="179" t="s">
        <v>516</v>
      </c>
      <c r="O105" s="179" t="s">
        <v>534</v>
      </c>
    </row>
    <row r="106" spans="1:15" x14ac:dyDescent="0.2">
      <c r="D106" s="128"/>
      <c r="E106" s="128"/>
      <c r="F106" s="140" t="s">
        <v>518</v>
      </c>
      <c r="G106" s="140" t="s">
        <v>519</v>
      </c>
      <c r="H106" s="128" t="s">
        <v>520</v>
      </c>
      <c r="I106" s="128" t="s">
        <v>521</v>
      </c>
      <c r="J106" s="140" t="s">
        <v>522</v>
      </c>
      <c r="K106" s="140" t="s">
        <v>523</v>
      </c>
      <c r="L106" s="140" t="s">
        <v>540</v>
      </c>
      <c r="M106" s="140" t="s">
        <v>541</v>
      </c>
      <c r="N106" s="140" t="s">
        <v>542</v>
      </c>
      <c r="O106" s="140" t="s">
        <v>543</v>
      </c>
    </row>
    <row r="107" spans="1:15" x14ac:dyDescent="0.2">
      <c r="D107" s="135" t="s">
        <v>526</v>
      </c>
      <c r="E107" s="136" t="s">
        <v>402</v>
      </c>
      <c r="F107" s="142">
        <f>SUBTOTAL(9,F108:F114)</f>
        <v>26</v>
      </c>
      <c r="G107" s="142">
        <f>SUBTOTAL(9,G108:G114)</f>
        <v>24</v>
      </c>
      <c r="H107" s="142">
        <f t="shared" ref="H107:I107" si="35">SUBTOTAL(9,H108:H114)</f>
        <v>2</v>
      </c>
      <c r="I107" s="142">
        <f t="shared" si="35"/>
        <v>6</v>
      </c>
      <c r="J107" s="139">
        <f>SUBTOTAL(9,J108:J114)</f>
        <v>6864951487.4370365</v>
      </c>
      <c r="K107" s="139">
        <f>SUBTOTAL(9,K108:K114)</f>
        <v>2050000000</v>
      </c>
      <c r="L107" s="142">
        <f t="shared" ref="L107" si="36">SUBTOTAL(9,L108:L114)</f>
        <v>4</v>
      </c>
      <c r="M107" s="139">
        <f>SUBTOTAL(9,M108:M114)</f>
        <v>1018037037</v>
      </c>
      <c r="N107" s="139">
        <f>SUBTOTAL(9,N108:N114)</f>
        <v>7882988524.4370365</v>
      </c>
      <c r="O107" s="139">
        <f>SUBTOTAL(9,O108:O114)</f>
        <v>60</v>
      </c>
    </row>
    <row r="108" spans="1:15" ht="15" x14ac:dyDescent="0.2">
      <c r="D108" s="129">
        <v>1</v>
      </c>
      <c r="E108" s="132" t="s">
        <v>113</v>
      </c>
      <c r="F108" s="143">
        <f>COUNTIFS('Data Doanh số'!$P:$P,'BC tuần'!E108,'Data Doanh số'!$I:$I,"Thiết kế")</f>
        <v>3</v>
      </c>
      <c r="G108" s="143">
        <f>COUNTIFS('Data Doanh số'!$P:$P,'BC tuần'!$E108,'Data Doanh số'!$I:$I,"Thi công")</f>
        <v>3</v>
      </c>
      <c r="H108" s="143">
        <f>COUNTIFS('Data Doanh số'!$P:$P,'BC tuần'!$E108,'Data Doanh số'!$I:$I,"Hợp đồng khung")</f>
        <v>0</v>
      </c>
      <c r="I108" s="171">
        <f>COUNTIFS(
'Data Doanh số'!$P:$P,'BC tuần'!$E108,
'Data Doanh số'!$I:$I,"&lt;&gt;Thi công",
'Data Doanh số'!$I:$I,"&lt;&gt;Thiết kế",'Data Doanh số'!$I:$I,"&lt;&gt;Hợp đồng khung"
)</f>
        <v>0</v>
      </c>
      <c r="J108" s="133">
        <f>SUMIFS('Data Doanh số'!$J:$J,'Data Doanh số'!$P:$P,'BC tuần'!$E108)</f>
        <v>1295673611.1851852</v>
      </c>
      <c r="K108" s="133">
        <f>SUMIFS('Data Doanh số'!$L:$L,'Data Doanh số'!$P:$P,'BC tuần'!$E108)</f>
        <v>0</v>
      </c>
      <c r="L108" s="133">
        <f>COUNTIFS('HĐ Khung chuyển đổi TC'!$L:$L,'BC tuần'!$E108)</f>
        <v>0</v>
      </c>
      <c r="M108" s="133">
        <f>SUMIFS('HĐ Khung chuyển đổi TC'!$I:$I,'HĐ Khung chuyển đổi TC'!$L:$L,'BC tuần'!$E108,'HĐ Khung chuyển đổi TC'!$Y:$Y,"2025")</f>
        <v>0</v>
      </c>
      <c r="N108" s="239">
        <f t="shared" ref="N108:N114" si="37">+J108+M108</f>
        <v>1295673611.1851852</v>
      </c>
      <c r="O108" s="240">
        <f t="shared" ref="O108:O114" si="38">+F108+G108+I108+L108</f>
        <v>6</v>
      </c>
    </row>
    <row r="109" spans="1:15" ht="15" x14ac:dyDescent="0.2">
      <c r="D109" s="129">
        <v>2</v>
      </c>
      <c r="E109" s="132" t="s">
        <v>71</v>
      </c>
      <c r="F109" s="143">
        <f>COUNTIFS('Data Doanh số'!$P:$P,'BC tuần'!E109,'Data Doanh số'!$I:$I,"Thiết kế")</f>
        <v>4</v>
      </c>
      <c r="G109" s="143">
        <f>COUNTIFS('Data Doanh số'!$P:$P,'BC tuần'!$E109,'Data Doanh số'!$I:$I,"Thi công")</f>
        <v>3</v>
      </c>
      <c r="H109" s="143">
        <f>COUNTIFS('Data Doanh số'!$P:$P,'BC tuần'!$E109,'Data Doanh số'!$I:$I,"Hợp đồng khung")</f>
        <v>1</v>
      </c>
      <c r="I109" s="171">
        <f>COUNTIFS(
'Data Doanh số'!$P:$P,'BC tuần'!$E109,
'Data Doanh số'!$I:$I,"&lt;&gt;Thi công",
'Data Doanh số'!$I:$I,"&lt;&gt;Thiết kế",'Data Doanh số'!$I:$I,"&lt;&gt;Hợp đồng khung"
)</f>
        <v>5</v>
      </c>
      <c r="J109" s="133">
        <f>SUMIFS('Data Doanh số'!$J:$J,'Data Doanh số'!$P:$P,'BC tuần'!$E109)</f>
        <v>586277862.70000005</v>
      </c>
      <c r="K109" s="133">
        <f>SUMIFS('Data Doanh số'!$L:$L,'Data Doanh số'!$P:$P,'BC tuần'!$E109)</f>
        <v>250000000</v>
      </c>
      <c r="L109" s="133">
        <f>COUNTIFS('HĐ Khung chuyển đổi TC'!$L:$L,'BC tuần'!$E109)</f>
        <v>0</v>
      </c>
      <c r="M109" s="133">
        <f>SUMIFS('HĐ Khung chuyển đổi TC'!$I:$I,'HĐ Khung chuyển đổi TC'!$L:$L,'BC tuần'!$E109,'HĐ Khung chuyển đổi TC'!$Y:$Y,"2025")</f>
        <v>0</v>
      </c>
      <c r="N109" s="239">
        <f t="shared" si="37"/>
        <v>586277862.70000005</v>
      </c>
      <c r="O109" s="240">
        <f t="shared" si="38"/>
        <v>12</v>
      </c>
    </row>
    <row r="110" spans="1:15" ht="15" x14ac:dyDescent="0.2">
      <c r="D110" s="129">
        <v>3</v>
      </c>
      <c r="E110" s="132" t="s">
        <v>87</v>
      </c>
      <c r="F110" s="143">
        <f>COUNTIFS('Data Doanh số'!$P:$P,'BC tuần'!E110,'Data Doanh số'!$I:$I,"Thiết kế")</f>
        <v>1</v>
      </c>
      <c r="G110" s="143">
        <f>COUNTIFS('Data Doanh số'!$P:$P,'BC tuần'!$E110,'Data Doanh số'!$I:$I,"Thi công")</f>
        <v>1</v>
      </c>
      <c r="H110" s="143">
        <f>COUNTIFS('Data Doanh số'!$P:$P,'BC tuần'!$E110,'Data Doanh số'!$I:$I,"Hợp đồng khung")</f>
        <v>1</v>
      </c>
      <c r="I110" s="171">
        <f>COUNTIFS(
'Data Doanh số'!$P:$P,'BC tuần'!$E110,
'Data Doanh số'!$I:$I,"&lt;&gt;Thi công",
'Data Doanh số'!$I:$I,"&lt;&gt;Thiết kế",'Data Doanh số'!$I:$I,"&lt;&gt;Hợp đồng khung"
)</f>
        <v>0</v>
      </c>
      <c r="J110" s="133">
        <f>SUMIFS('Data Doanh số'!$J:$J,'Data Doanh số'!$P:$P,'BC tuần'!$E110)</f>
        <v>612591889</v>
      </c>
      <c r="K110" s="133">
        <f>SUMIFS('Data Doanh số'!$L:$L,'Data Doanh số'!$P:$P,'BC tuần'!$E110)</f>
        <v>200000000</v>
      </c>
      <c r="L110" s="133">
        <f>COUNTIFS('HĐ Khung chuyển đổi TC'!$L:$L,'BC tuần'!$E110)</f>
        <v>0</v>
      </c>
      <c r="M110" s="133">
        <f>SUMIFS('HĐ Khung chuyển đổi TC'!$I:$I,'HĐ Khung chuyển đổi TC'!$L:$L,'BC tuần'!$E110,'HĐ Khung chuyển đổi TC'!$Y:$Y,"2025")</f>
        <v>0</v>
      </c>
      <c r="N110" s="239">
        <f t="shared" si="37"/>
        <v>612591889</v>
      </c>
      <c r="O110" s="240">
        <f t="shared" si="38"/>
        <v>2</v>
      </c>
    </row>
    <row r="111" spans="1:15" ht="15" x14ac:dyDescent="0.2">
      <c r="D111" s="129">
        <v>4</v>
      </c>
      <c r="E111" s="132" t="s">
        <v>42</v>
      </c>
      <c r="F111" s="143">
        <f>COUNTIFS('Data Doanh số'!$P:$P,'BC tuần'!E111,'Data Doanh số'!$I:$I,"Thiết kế")</f>
        <v>6</v>
      </c>
      <c r="G111" s="143">
        <f>COUNTIFS('Data Doanh số'!$P:$P,'BC tuần'!$E111,'Data Doanh số'!$I:$I,"Thi công")</f>
        <v>5</v>
      </c>
      <c r="H111" s="143">
        <f>COUNTIFS('Data Doanh số'!$P:$P,'BC tuần'!$E111,'Data Doanh số'!$I:$I,"Hợp đồng khung")</f>
        <v>0</v>
      </c>
      <c r="I111" s="171">
        <f>COUNTIFS(
'Data Doanh số'!$P:$P,'BC tuần'!$E111,
'Data Doanh số'!$I:$I,"&lt;&gt;Thi công",
'Data Doanh số'!$I:$I,"&lt;&gt;Thiết kế",'Data Doanh số'!$I:$I,"&lt;&gt;Hợp đồng khung"
)</f>
        <v>1</v>
      </c>
      <c r="J111" s="133">
        <f>SUMIFS('Data Doanh số'!$J:$J,'Data Doanh số'!$P:$P,'BC tuần'!$E111)</f>
        <v>1116436109.9592593</v>
      </c>
      <c r="K111" s="133">
        <f>SUMIFS('Data Doanh số'!$L:$L,'Data Doanh số'!$P:$P,'BC tuần'!$E111)</f>
        <v>0</v>
      </c>
      <c r="L111" s="133">
        <f>COUNTIFS('HĐ Khung chuyển đổi TC'!$L:$L,'BC tuần'!$E111)</f>
        <v>3</v>
      </c>
      <c r="M111" s="133">
        <f>SUMIFS('HĐ Khung chuyển đổi TC'!$I:$I,'HĐ Khung chuyển đổi TC'!$L:$L,'BC tuần'!$E111,'HĐ Khung chuyển đổi TC'!$Y:$Y,"2025")</f>
        <v>1018037037</v>
      </c>
      <c r="N111" s="239">
        <f t="shared" si="37"/>
        <v>2134473146.9592593</v>
      </c>
      <c r="O111" s="240">
        <f t="shared" si="38"/>
        <v>15</v>
      </c>
    </row>
    <row r="112" spans="1:15" ht="15" x14ac:dyDescent="0.2">
      <c r="D112" s="129">
        <v>5</v>
      </c>
      <c r="E112" s="132" t="s">
        <v>105</v>
      </c>
      <c r="F112" s="143">
        <f>COUNTIFS('Data Doanh số'!$P:$P,'BC tuần'!E112,'Data Doanh số'!$I:$I,"Thiết kế")</f>
        <v>2</v>
      </c>
      <c r="G112" s="143">
        <f>COUNTIFS('Data Doanh số'!$P:$P,'BC tuần'!$E112,'Data Doanh số'!$I:$I,"Thi công")</f>
        <v>3</v>
      </c>
      <c r="H112" s="143">
        <f>COUNTIFS('Data Doanh số'!$P:$P,'BC tuần'!$E112,'Data Doanh số'!$I:$I,"Hợp đồng khung")</f>
        <v>0</v>
      </c>
      <c r="I112" s="171">
        <f>COUNTIFS(
'Data Doanh số'!$P:$P,'BC tuần'!$E112,
'Data Doanh số'!$I:$I,"&lt;&gt;Thi công",
'Data Doanh số'!$I:$I,"&lt;&gt;Thiết kế",'Data Doanh số'!$I:$I,"&lt;&gt;Hợp đồng khung"
)</f>
        <v>0</v>
      </c>
      <c r="J112" s="133">
        <f>SUMIFS('Data Doanh số'!$J:$J,'Data Doanh số'!$P:$P,'BC tuần'!$E112)</f>
        <v>1557586590.4074073</v>
      </c>
      <c r="K112" s="133">
        <f>SUMIFS('Data Doanh số'!$L:$L,'Data Doanh số'!$P:$P,'BC tuần'!$E112)</f>
        <v>0</v>
      </c>
      <c r="L112" s="133">
        <f>COUNTIFS('HĐ Khung chuyển đổi TC'!$L:$L,'BC tuần'!$E112)</f>
        <v>1</v>
      </c>
      <c r="M112" s="133">
        <f>SUMIFS('HĐ Khung chuyển đổi TC'!$I:$I,'HĐ Khung chuyển đổi TC'!$L:$L,'BC tuần'!$E112,'HĐ Khung chuyển đổi TC'!$Y:$Y,"2025")</f>
        <v>0</v>
      </c>
      <c r="N112" s="239">
        <f t="shared" si="37"/>
        <v>1557586590.4074073</v>
      </c>
      <c r="O112" s="240">
        <f t="shared" si="38"/>
        <v>6</v>
      </c>
    </row>
    <row r="113" spans="4:15" ht="15" x14ac:dyDescent="0.2">
      <c r="D113" s="129">
        <v>6</v>
      </c>
      <c r="E113" s="132" t="s">
        <v>83</v>
      </c>
      <c r="F113" s="143">
        <f>COUNTIFS('Data Doanh số'!$P:$P,'BC tuần'!E113,'Data Doanh số'!$I:$I,"Thiết kế")</f>
        <v>5</v>
      </c>
      <c r="G113" s="143">
        <f>COUNTIFS('Data Doanh số'!$P:$P,'BC tuần'!$E113,'Data Doanh số'!$I:$I,"Thi công")</f>
        <v>7</v>
      </c>
      <c r="H113" s="143">
        <f>COUNTIFS('Data Doanh số'!$P:$P,'BC tuần'!$E113,'Data Doanh số'!$I:$I,"Hợp đồng khung")</f>
        <v>0</v>
      </c>
      <c r="I113" s="171">
        <f>COUNTIFS(
'Data Doanh số'!$P:$P,'BC tuần'!$E113,
'Data Doanh số'!$I:$I,"&lt;&gt;Thi công",
'Data Doanh số'!$I:$I,"&lt;&gt;Thiết kế",'Data Doanh số'!$I:$I,"&lt;&gt;Hợp đồng khung"
)</f>
        <v>0</v>
      </c>
      <c r="J113" s="133">
        <f>SUMIFS('Data Doanh số'!$J:$J,'Data Doanh số'!$P:$P,'BC tuần'!$E113)</f>
        <v>1162767716.8148148</v>
      </c>
      <c r="K113" s="133">
        <f>SUMIFS('Data Doanh số'!$L:$L,'Data Doanh số'!$P:$P,'BC tuần'!$E113)</f>
        <v>1600000000</v>
      </c>
      <c r="L113" s="133">
        <f>COUNTIFS('HĐ Khung chuyển đổi TC'!$L:$L,'BC tuần'!$E113)</f>
        <v>0</v>
      </c>
      <c r="M113" s="133">
        <f>SUMIFS('HĐ Khung chuyển đổi TC'!$I:$I,'HĐ Khung chuyển đổi TC'!$L:$L,'BC tuần'!$E113,'HĐ Khung chuyển đổi TC'!$Y:$Y,"2025")</f>
        <v>0</v>
      </c>
      <c r="N113" s="239">
        <f t="shared" si="37"/>
        <v>1162767716.8148148</v>
      </c>
      <c r="O113" s="240">
        <f t="shared" si="38"/>
        <v>12</v>
      </c>
    </row>
    <row r="114" spans="4:15" ht="15" x14ac:dyDescent="0.2">
      <c r="D114" s="129">
        <v>7</v>
      </c>
      <c r="E114" s="132" t="s">
        <v>140</v>
      </c>
      <c r="F114" s="143">
        <f>COUNTIFS('Data Doanh số'!$P:$P,'BC tuần'!E114,'Data Doanh số'!$I:$I,"Thiết kế")</f>
        <v>5</v>
      </c>
      <c r="G114" s="143">
        <f>COUNTIFS('Data Doanh số'!$P:$P,'BC tuần'!$E114,'Data Doanh số'!$I:$I,"Thi công")</f>
        <v>2</v>
      </c>
      <c r="H114" s="143">
        <f>COUNTIFS('Data Doanh số'!$P:$P,'BC tuần'!$E114,'Data Doanh số'!$I:$I,"Hợp đồng khung")</f>
        <v>0</v>
      </c>
      <c r="I114" s="171">
        <f>COUNTIFS(
'Data Doanh số'!$P:$P,'BC tuần'!$E114,
'Data Doanh số'!$I:$I,"&lt;&gt;Thi công",
'Data Doanh số'!$I:$I,"&lt;&gt;Thiết kế",'Data Doanh số'!$I:$I,"&lt;&gt;Hợp đồng khung"
)</f>
        <v>0</v>
      </c>
      <c r="J114" s="133">
        <f>SUMIFS('Data Doanh số'!$J:$J,'Data Doanh số'!$P:$P,'BC tuần'!$E114)</f>
        <v>533617707.37037033</v>
      </c>
      <c r="K114" s="133">
        <f>SUMIFS('Data Doanh số'!$L:$L,'Data Doanh số'!$P:$P,'BC tuần'!$E114)</f>
        <v>0</v>
      </c>
      <c r="L114" s="133">
        <f>COUNTIFS('HĐ Khung chuyển đổi TC'!$L:$L,'BC tuần'!$E114)</f>
        <v>0</v>
      </c>
      <c r="M114" s="133">
        <f>SUMIFS('HĐ Khung chuyển đổi TC'!$I:$I,'HĐ Khung chuyển đổi TC'!$L:$L,'BC tuần'!$E114,'HĐ Khung chuyển đổi TC'!$Y:$Y,"2025")</f>
        <v>0</v>
      </c>
      <c r="N114" s="239">
        <f t="shared" si="37"/>
        <v>533617707.37037033</v>
      </c>
      <c r="O114" s="240">
        <f t="shared" si="38"/>
        <v>7</v>
      </c>
    </row>
    <row r="115" spans="4:15" x14ac:dyDescent="0.2">
      <c r="D115" s="135" t="s">
        <v>527</v>
      </c>
      <c r="E115" s="136" t="s">
        <v>403</v>
      </c>
      <c r="F115" s="142">
        <f>SUBTOTAL(9,F116:F119)</f>
        <v>8</v>
      </c>
      <c r="G115" s="142">
        <f t="shared" ref="G115:I115" si="39">SUBTOTAL(9,G116:G119)</f>
        <v>7</v>
      </c>
      <c r="H115" s="142">
        <f t="shared" si="39"/>
        <v>0</v>
      </c>
      <c r="I115" s="142">
        <f t="shared" si="39"/>
        <v>1</v>
      </c>
      <c r="J115" s="139">
        <f t="shared" ref="J115:O115" si="40">SUBTOTAL(9,J116:J119)</f>
        <v>5327769704.1481476</v>
      </c>
      <c r="K115" s="139">
        <f t="shared" si="40"/>
        <v>0</v>
      </c>
      <c r="L115" s="142">
        <f t="shared" si="40"/>
        <v>3</v>
      </c>
      <c r="M115" s="139">
        <f t="shared" si="40"/>
        <v>2981684518.5185184</v>
      </c>
      <c r="N115" s="139">
        <f t="shared" si="40"/>
        <v>8309454222.666667</v>
      </c>
      <c r="O115" s="139">
        <f t="shared" si="40"/>
        <v>19</v>
      </c>
    </row>
    <row r="116" spans="4:15" ht="15" x14ac:dyDescent="0.2">
      <c r="D116" s="129">
        <v>1</v>
      </c>
      <c r="E116" s="132" t="s">
        <v>312</v>
      </c>
      <c r="F116" s="143">
        <f>COUNTIFS('Data Doanh số'!$P:$P,'BC tuần'!E116,'Data Doanh số'!$I:$I,"Thiết kế")</f>
        <v>1</v>
      </c>
      <c r="G116" s="143">
        <f>COUNTIFS('Data Doanh số'!$P:$P,'BC tuần'!$E116,'Data Doanh số'!$I:$I,"Thi công")</f>
        <v>2</v>
      </c>
      <c r="H116" s="143">
        <f>COUNTIFS('Data Doanh số'!$P:$P,'BC tuần'!$E116,'Data Doanh số'!$I:$I,"Hợp đồng khung")</f>
        <v>0</v>
      </c>
      <c r="I116" s="171">
        <f>COUNTIFS(
'Data Doanh số'!$P:$P,'BC tuần'!$E116,
'Data Doanh số'!$I:$I,"&lt;&gt;Thi công",
'Data Doanh số'!$I:$I,"&lt;&gt;Thiết kế",'Data Doanh số'!$I:$I,"&lt;&gt;Hợp đồng khung"
)</f>
        <v>0</v>
      </c>
      <c r="J116" s="133">
        <f>SUMIFS('Data Doanh số'!$J:$J,'Data Doanh số'!$P:$P,'BC tuần'!$E116)</f>
        <v>4662324855</v>
      </c>
      <c r="K116" s="133">
        <f>SUMIFS('Data Doanh số'!$L:$L,'Data Doanh số'!$P:$P,'BC tuần'!$E116)</f>
        <v>0</v>
      </c>
      <c r="L116" s="133">
        <f>COUNTIFS('HĐ Khung chuyển đổi TC'!$L:$L,'BC tuần'!$E116)</f>
        <v>0</v>
      </c>
      <c r="M116" s="133">
        <f>SUMIFS('HĐ Khung chuyển đổi TC'!$I:$I,'HĐ Khung chuyển đổi TC'!$L:$L,'BC tuần'!$E116,'HĐ Khung chuyển đổi TC'!$Y:$Y,"2025")</f>
        <v>0</v>
      </c>
      <c r="N116" s="239">
        <f>+J116+M116</f>
        <v>4662324855</v>
      </c>
      <c r="O116" s="240">
        <f>+F116+G116+I116+L116</f>
        <v>3</v>
      </c>
    </row>
    <row r="117" spans="4:15" ht="15" x14ac:dyDescent="0.2">
      <c r="D117" s="129">
        <v>2</v>
      </c>
      <c r="E117" s="132" t="s">
        <v>153</v>
      </c>
      <c r="F117" s="143">
        <f>COUNTIFS('Data Doanh số'!$P:$P,'BC tuần'!E117,'Data Doanh số'!$I:$I,"Thiết kế")</f>
        <v>5</v>
      </c>
      <c r="G117" s="143">
        <f>COUNTIFS('Data Doanh số'!$P:$P,'BC tuần'!$E117,'Data Doanh số'!$I:$I,"Thi công")</f>
        <v>4</v>
      </c>
      <c r="H117" s="143">
        <f>COUNTIFS('Data Doanh số'!$P:$P,'BC tuần'!$E117,'Data Doanh số'!$I:$I,"Hợp đồng khung")</f>
        <v>0</v>
      </c>
      <c r="I117" s="171">
        <f>COUNTIFS(
'Data Doanh số'!$P:$P,'BC tuần'!$E117,
'Data Doanh số'!$I:$I,"&lt;&gt;Thi công",
'Data Doanh số'!$I:$I,"&lt;&gt;Thiết kế",'Data Doanh số'!$I:$I,"&lt;&gt;Hợp đồng khung"
)</f>
        <v>1</v>
      </c>
      <c r="J117" s="133">
        <f>SUMIFS('Data Doanh số'!$J:$J,'Data Doanh số'!$P:$P,'BC tuần'!$E117)</f>
        <v>464052214.81481487</v>
      </c>
      <c r="K117" s="133">
        <f>SUMIFS('Data Doanh số'!$L:$L,'Data Doanh số'!$P:$P,'BC tuần'!$E117)</f>
        <v>0</v>
      </c>
      <c r="L117" s="133">
        <f>COUNTIFS('HĐ Khung chuyển đổi TC'!$L:$L,'BC tuần'!$E117)</f>
        <v>3</v>
      </c>
      <c r="M117" s="133">
        <f>SUMIFS('HĐ Khung chuyển đổi TC'!$I:$I,'HĐ Khung chuyển đổi TC'!$L:$L,'BC tuần'!$E117,'HĐ Khung chuyển đổi TC'!$Y:$Y,"2025")</f>
        <v>2981684518.5185184</v>
      </c>
      <c r="N117" s="239">
        <f>+J117+M117</f>
        <v>3445736733.3333335</v>
      </c>
      <c r="O117" s="240">
        <f>+F117+G117+I117+L117</f>
        <v>13</v>
      </c>
    </row>
    <row r="118" spans="4:15" ht="15" x14ac:dyDescent="0.2">
      <c r="D118" s="129">
        <v>3</v>
      </c>
      <c r="E118" s="132" t="s">
        <v>55</v>
      </c>
      <c r="F118" s="143">
        <f>COUNTIFS('Data Doanh số'!$P:$P,'BC tuần'!E118,'Data Doanh số'!$I:$I,"Thiết kế")</f>
        <v>1</v>
      </c>
      <c r="G118" s="143">
        <f>COUNTIFS('Data Doanh số'!$P:$P,'BC tuần'!$E118,'Data Doanh số'!$I:$I,"Thi công")</f>
        <v>1</v>
      </c>
      <c r="H118" s="143">
        <f>COUNTIFS('Data Doanh số'!$P:$P,'BC tuần'!$E118,'Data Doanh số'!$I:$I,"Hợp đồng khung")</f>
        <v>0</v>
      </c>
      <c r="I118" s="171">
        <f>COUNTIFS(
'Data Doanh số'!$P:$P,'BC tuần'!$E118,
'Data Doanh số'!$I:$I,"&lt;&gt;Thi công",
'Data Doanh số'!$I:$I,"&lt;&gt;Thiết kế",'Data Doanh số'!$I:$I,"&lt;&gt;Hợp đồng khung"
)</f>
        <v>0</v>
      </c>
      <c r="J118" s="133">
        <f>SUMIFS('Data Doanh số'!$J:$J,'Data Doanh số'!$P:$P,'BC tuần'!$E118)</f>
        <v>177966708.33333334</v>
      </c>
      <c r="K118" s="133">
        <f>SUMIFS('Data Doanh số'!$L:$L,'Data Doanh số'!$P:$P,'BC tuần'!$E118)</f>
        <v>0</v>
      </c>
      <c r="L118" s="133">
        <f>COUNTIFS('HĐ Khung chuyển đổi TC'!$L:$L,'BC tuần'!$E118)</f>
        <v>0</v>
      </c>
      <c r="M118" s="133">
        <f>SUMIFS('HĐ Khung chuyển đổi TC'!$I:$I,'HĐ Khung chuyển đổi TC'!$L:$L,'BC tuần'!$E118,'HĐ Khung chuyển đổi TC'!$Y:$Y,"2025")</f>
        <v>0</v>
      </c>
      <c r="N118" s="239">
        <f>+J118+M118</f>
        <v>177966708.33333334</v>
      </c>
      <c r="O118" s="240">
        <f>+F118+G118+I118+L118</f>
        <v>2</v>
      </c>
    </row>
    <row r="119" spans="4:15" ht="15" x14ac:dyDescent="0.2">
      <c r="D119" s="129">
        <v>4</v>
      </c>
      <c r="E119" s="132" t="s">
        <v>236</v>
      </c>
      <c r="F119" s="143">
        <f>COUNTIFS('Data Doanh số'!$P:$P,'BC tuần'!E119,'Data Doanh số'!$I:$I,"Thiết kế")</f>
        <v>1</v>
      </c>
      <c r="G119" s="143">
        <f>COUNTIFS('Data Doanh số'!$P:$P,'BC tuần'!$E119,'Data Doanh số'!$I:$I,"Thi công")</f>
        <v>0</v>
      </c>
      <c r="H119" s="143">
        <f>COUNTIFS('Data Doanh số'!$P:$P,'BC tuần'!$E119,'Data Doanh số'!$I:$I,"Hợp đồng khung")</f>
        <v>0</v>
      </c>
      <c r="I119" s="171">
        <f>COUNTIFS(
'Data Doanh số'!$P:$P,'BC tuần'!$E119,
'Data Doanh số'!$I:$I,"&lt;&gt;Thi công",
'Data Doanh số'!$I:$I,"&lt;&gt;Thiết kế",'Data Doanh số'!$I:$I,"&lt;&gt;Hợp đồng khung"
)</f>
        <v>0</v>
      </c>
      <c r="J119" s="133">
        <f>SUMIFS('Data Doanh số'!$J:$J,'Data Doanh số'!$P:$P,'BC tuần'!$E119)</f>
        <v>23425926</v>
      </c>
      <c r="K119" s="133">
        <f>SUMIFS('Data Doanh số'!$L:$L,'Data Doanh số'!$P:$P,'BC tuần'!$E119)</f>
        <v>0</v>
      </c>
      <c r="L119" s="133">
        <f>COUNTIFS('HĐ Khung chuyển đổi TC'!$L:$L,'BC tuần'!$E119)</f>
        <v>0</v>
      </c>
      <c r="M119" s="133">
        <f>SUMIFS('HĐ Khung chuyển đổi TC'!$I:$I,'HĐ Khung chuyển đổi TC'!$L:$L,'BC tuần'!$E119,'HĐ Khung chuyển đổi TC'!$Y:$Y,"2025")</f>
        <v>0</v>
      </c>
      <c r="N119" s="239">
        <f>+J119+M119</f>
        <v>23425926</v>
      </c>
      <c r="O119" s="240">
        <f>+F119+G119+I119+L119</f>
        <v>1</v>
      </c>
    </row>
    <row r="120" spans="4:15" x14ac:dyDescent="0.2">
      <c r="D120" s="135" t="s">
        <v>528</v>
      </c>
      <c r="E120" s="136" t="s">
        <v>405</v>
      </c>
      <c r="F120" s="172">
        <f>SUBTOTAL(9,F121:F127)</f>
        <v>12</v>
      </c>
      <c r="G120" s="172">
        <f t="shared" ref="G120:N120" si="41">SUBTOTAL(9,G121:G127)</f>
        <v>6</v>
      </c>
      <c r="H120" s="172">
        <f t="shared" si="41"/>
        <v>2</v>
      </c>
      <c r="I120" s="172">
        <f t="shared" si="41"/>
        <v>0</v>
      </c>
      <c r="J120" s="172">
        <f t="shared" si="41"/>
        <v>4934607616.0197525</v>
      </c>
      <c r="K120" s="172">
        <f t="shared" si="41"/>
        <v>0</v>
      </c>
      <c r="L120" s="172">
        <f t="shared" si="41"/>
        <v>4</v>
      </c>
      <c r="M120" s="172">
        <f t="shared" si="41"/>
        <v>6099379380.5555553</v>
      </c>
      <c r="N120" s="172">
        <f t="shared" si="41"/>
        <v>11033986996.575308</v>
      </c>
      <c r="O120" s="172">
        <f>SUBTOTAL(9,O121:O127)</f>
        <v>22</v>
      </c>
    </row>
    <row r="121" spans="4:15" ht="15" x14ac:dyDescent="0.2">
      <c r="D121" s="129">
        <v>1</v>
      </c>
      <c r="E121" s="132" t="s">
        <v>210</v>
      </c>
      <c r="F121" s="143">
        <f>COUNTIFS('Data Doanh số'!$P:$P,'BC tuần'!E121,'Data Doanh số'!$I:$I,"Thiết kế")</f>
        <v>1</v>
      </c>
      <c r="G121" s="143">
        <f>COUNTIFS('Data Doanh số'!$P:$P,'BC tuần'!$E121,'Data Doanh số'!$I:$I,"Thi công")</f>
        <v>2</v>
      </c>
      <c r="H121" s="143">
        <f>COUNTIFS('Data Doanh số'!$P:$P,'BC tuần'!$E121,'Data Doanh số'!$I:$I,"Hợp đồng khung")</f>
        <v>0</v>
      </c>
      <c r="I121" s="171">
        <f>COUNTIFS(
'Data Doanh số'!$P:$P,'BC tuần'!$E121,
'Data Doanh số'!$I:$I,"&lt;&gt;Thi công",
'Data Doanh số'!$I:$I,"&lt;&gt;Thiết kế",'Data Doanh số'!$I:$I,"&lt;&gt;Hợp đồng khung"
)</f>
        <v>0</v>
      </c>
      <c r="J121" s="133">
        <f>SUMIFS('Data Doanh số'!$J:$J,'Data Doanh số'!$P:$P,'BC tuần'!$E121)</f>
        <v>2629646763.2716045</v>
      </c>
      <c r="K121" s="133">
        <f>SUMIFS('Data Doanh số'!$L:$L,'Data Doanh số'!$P:$P,'BC tuần'!$E121)</f>
        <v>0</v>
      </c>
      <c r="L121" s="133">
        <f>COUNTIFS('HĐ Khung chuyển đổi TC'!$L:$L,'BC tuần'!$E121)</f>
        <v>1</v>
      </c>
      <c r="M121" s="133">
        <f>SUMIFS('HĐ Khung chuyển đổi TC'!$I:$I,'HĐ Khung chuyển đổi TC'!$L:$L,'BC tuần'!$E121,'HĐ Khung chuyển đổi TC'!$Y:$Y,"2025")</f>
        <v>5555555555.5555553</v>
      </c>
      <c r="N121" s="239">
        <f t="shared" ref="N121:N127" si="42">+J121+M121</f>
        <v>8185202318.8271599</v>
      </c>
      <c r="O121" s="240">
        <f t="shared" ref="O121:O127" si="43">+F121+G121+I121+L121</f>
        <v>4</v>
      </c>
    </row>
    <row r="122" spans="4:15" ht="15" x14ac:dyDescent="0.2">
      <c r="D122" s="129">
        <v>2</v>
      </c>
      <c r="E122" s="132" t="s">
        <v>63</v>
      </c>
      <c r="F122" s="143">
        <f>COUNTIFS('Data Doanh số'!$P:$P,'BC tuần'!E122,'Data Doanh số'!$I:$I,"Thiết kế")</f>
        <v>3</v>
      </c>
      <c r="G122" s="143">
        <f>COUNTIFS('Data Doanh số'!$P:$P,'BC tuần'!$E122,'Data Doanh số'!$I:$I,"Thi công")</f>
        <v>2</v>
      </c>
      <c r="H122" s="143">
        <f>COUNTIFS('Data Doanh số'!$P:$P,'BC tuần'!$E122,'Data Doanh số'!$I:$I,"Hợp đồng khung")</f>
        <v>0</v>
      </c>
      <c r="I122" s="171">
        <f>COUNTIFS(
'Data Doanh số'!$P:$P,'BC tuần'!$E122,
'Data Doanh số'!$I:$I,"&lt;&gt;Thi công",
'Data Doanh số'!$I:$I,"&lt;&gt;Thiết kế",'Data Doanh số'!$I:$I,"&lt;&gt;Hợp đồng khung"
)</f>
        <v>0</v>
      </c>
      <c r="J122" s="133">
        <f>SUMIFS('Data Doanh số'!$J:$J,'Data Doanh số'!$P:$P,'BC tuần'!$E122)</f>
        <v>786046963.88888884</v>
      </c>
      <c r="K122" s="133">
        <f>SUMIFS('Data Doanh số'!$L:$L,'Data Doanh số'!$P:$P,'BC tuần'!$E122)</f>
        <v>0</v>
      </c>
      <c r="L122" s="133">
        <f>COUNTIFS('HĐ Khung chuyển đổi TC'!$L:$L,'BC tuần'!$E122)</f>
        <v>1</v>
      </c>
      <c r="M122" s="133">
        <f>SUMIFS('HĐ Khung chuyển đổi TC'!$I:$I,'HĐ Khung chuyển đổi TC'!$L:$L,'BC tuần'!$E122,'HĐ Khung chuyển đổi TC'!$Y:$Y,"2025")</f>
        <v>0</v>
      </c>
      <c r="N122" s="239">
        <f t="shared" si="42"/>
        <v>786046963.88888884</v>
      </c>
      <c r="O122" s="240">
        <f t="shared" si="43"/>
        <v>6</v>
      </c>
    </row>
    <row r="123" spans="4:15" ht="15" x14ac:dyDescent="0.2">
      <c r="D123" s="129">
        <v>3</v>
      </c>
      <c r="E123" s="132" t="s">
        <v>257</v>
      </c>
      <c r="F123" s="143">
        <f>COUNTIFS('Data Doanh số'!$P:$P,'BC tuần'!E123,'Data Doanh số'!$I:$I,"Thiết kế")</f>
        <v>2</v>
      </c>
      <c r="G123" s="143">
        <f>COUNTIFS('Data Doanh số'!$P:$P,'BC tuần'!$E123,'Data Doanh số'!$I:$I,"Thi công")</f>
        <v>0</v>
      </c>
      <c r="H123" s="143">
        <f>COUNTIFS('Data Doanh số'!$P:$P,'BC tuần'!$E123,'Data Doanh số'!$I:$I,"Hợp đồng khung")</f>
        <v>0</v>
      </c>
      <c r="I123" s="171">
        <f>COUNTIFS(
'Data Doanh số'!$P:$P,'BC tuần'!$E123,
'Data Doanh số'!$I:$I,"&lt;&gt;Thi công",
'Data Doanh số'!$I:$I,"&lt;&gt;Thiết kế",'Data Doanh số'!$I:$I,"&lt;&gt;Hợp đồng khung"
)</f>
        <v>0</v>
      </c>
      <c r="J123" s="133">
        <f>SUMIFS('Data Doanh số'!$J:$J,'Data Doanh số'!$P:$P,'BC tuần'!$E123)</f>
        <v>6481481.5999999996</v>
      </c>
      <c r="K123" s="133">
        <f>SUMIFS('Data Doanh số'!$L:$L,'Data Doanh số'!$P:$P,'BC tuần'!$E123)</f>
        <v>0</v>
      </c>
      <c r="L123" s="133">
        <f>COUNTIFS('HĐ Khung chuyển đổi TC'!$L:$L,'BC tuần'!$E123)</f>
        <v>0</v>
      </c>
      <c r="M123" s="133">
        <f>SUMIFS('HĐ Khung chuyển đổi TC'!$I:$I,'HĐ Khung chuyển đổi TC'!$L:$L,'BC tuần'!$E123,'HĐ Khung chuyển đổi TC'!$Y:$Y,"2025")</f>
        <v>0</v>
      </c>
      <c r="N123" s="239">
        <f t="shared" si="42"/>
        <v>6481481.5999999996</v>
      </c>
      <c r="O123" s="240">
        <f t="shared" si="43"/>
        <v>2</v>
      </c>
    </row>
    <row r="124" spans="4:15" ht="15" x14ac:dyDescent="0.2">
      <c r="D124" s="129">
        <v>4</v>
      </c>
      <c r="E124" s="132" t="s">
        <v>529</v>
      </c>
      <c r="F124" s="143">
        <f>COUNTIFS('Data Doanh số'!$P:$P,'BC tuần'!E124,'Data Doanh số'!$I:$I,"Thiết kế")</f>
        <v>0</v>
      </c>
      <c r="G124" s="143">
        <f>COUNTIFS('Data Doanh số'!$P:$P,'BC tuần'!$E124,'Data Doanh số'!$I:$I,"Thi công")</f>
        <v>0</v>
      </c>
      <c r="H124" s="143">
        <f>COUNTIFS('Data Doanh số'!$P:$P,'BC tuần'!$E124,'Data Doanh số'!$I:$I,"Hợp đồng khung")</f>
        <v>0</v>
      </c>
      <c r="I124" s="171">
        <f>COUNTIFS(
'Data Doanh số'!$P:$P,'BC tuần'!$E124,
'Data Doanh số'!$I:$I,"&lt;&gt;Thi công",
'Data Doanh số'!$I:$I,"&lt;&gt;Thiết kế",'Data Doanh số'!$I:$I,"&lt;&gt;Hợp đồng khung"
)</f>
        <v>0</v>
      </c>
      <c r="J124" s="133">
        <f>SUMIFS('Data Doanh số'!$J:$J,'Data Doanh số'!$P:$P,'BC tuần'!$E124)</f>
        <v>0</v>
      </c>
      <c r="K124" s="133">
        <f>SUMIFS('Data Doanh số'!$L:$L,'Data Doanh số'!$P:$P,'BC tuần'!$E124)</f>
        <v>0</v>
      </c>
      <c r="L124" s="133">
        <f>COUNTIFS('HĐ Khung chuyển đổi TC'!$L:$L,'BC tuần'!$E124)</f>
        <v>0</v>
      </c>
      <c r="M124" s="133">
        <f>SUMIFS('HĐ Khung chuyển đổi TC'!$I:$I,'HĐ Khung chuyển đổi TC'!$L:$L,'BC tuần'!$E124,'HĐ Khung chuyển đổi TC'!$Y:$Y,"2025")</f>
        <v>0</v>
      </c>
      <c r="N124" s="239">
        <f t="shared" si="42"/>
        <v>0</v>
      </c>
      <c r="O124" s="240">
        <f t="shared" si="43"/>
        <v>0</v>
      </c>
    </row>
    <row r="125" spans="4:15" ht="15" x14ac:dyDescent="0.2">
      <c r="D125" s="129">
        <v>5</v>
      </c>
      <c r="E125" s="132" t="s">
        <v>170</v>
      </c>
      <c r="F125" s="143">
        <f>COUNTIFS('Data Doanh số'!$P:$P,'BC tuần'!E125,'Data Doanh số'!$I:$I,"Thiết kế")</f>
        <v>2</v>
      </c>
      <c r="G125" s="143">
        <f>COUNTIFS('Data Doanh số'!$P:$P,'BC tuần'!$E125,'Data Doanh số'!$I:$I,"Thi công")</f>
        <v>0</v>
      </c>
      <c r="H125" s="143">
        <f>COUNTIFS('Data Doanh số'!$P:$P,'BC tuần'!$E125,'Data Doanh số'!$I:$I,"Hợp đồng khung")</f>
        <v>0</v>
      </c>
      <c r="I125" s="171">
        <f>COUNTIFS(
'Data Doanh số'!$P:$P,'BC tuần'!$E125,
'Data Doanh số'!$I:$I,"&lt;&gt;Thi công",
'Data Doanh số'!$I:$I,"&lt;&gt;Thiết kế",'Data Doanh số'!$I:$I,"&lt;&gt;Hợp đồng khung"
)</f>
        <v>0</v>
      </c>
      <c r="J125" s="133">
        <f>SUMIFS('Data Doanh số'!$J:$J,'Data Doanh số'!$P:$P,'BC tuần'!$E125)</f>
        <v>32923148</v>
      </c>
      <c r="K125" s="133">
        <f>SUMIFS('Data Doanh số'!$L:$L,'Data Doanh số'!$P:$P,'BC tuần'!$E125)</f>
        <v>0</v>
      </c>
      <c r="L125" s="133">
        <f>COUNTIFS('HĐ Khung chuyển đổi TC'!$L:$L,'BC tuần'!$E125)</f>
        <v>2</v>
      </c>
      <c r="M125" s="133">
        <f>SUMIFS('HĐ Khung chuyển đổi TC'!$I:$I,'HĐ Khung chuyển đổi TC'!$L:$L,'BC tuần'!$E125,'HĐ Khung chuyển đổi TC'!$Y:$Y,"2025")</f>
        <v>543823825</v>
      </c>
      <c r="N125" s="239">
        <f t="shared" si="42"/>
        <v>576746973</v>
      </c>
      <c r="O125" s="240">
        <f t="shared" si="43"/>
        <v>4</v>
      </c>
    </row>
    <row r="126" spans="4:15" ht="15" x14ac:dyDescent="0.2">
      <c r="D126" s="129">
        <v>6</v>
      </c>
      <c r="E126" s="132" t="s">
        <v>59</v>
      </c>
      <c r="F126" s="143">
        <f>COUNTIFS('Data Doanh số'!$P:$P,'BC tuần'!E126,'Data Doanh số'!$I:$I,"Thiết kế")</f>
        <v>3</v>
      </c>
      <c r="G126" s="143">
        <f>COUNTIFS('Data Doanh số'!$P:$P,'BC tuần'!$E126,'Data Doanh số'!$I:$I,"Thi công")</f>
        <v>1</v>
      </c>
      <c r="H126" s="143">
        <f>COUNTIFS('Data Doanh số'!$P:$P,'BC tuần'!$E126,'Data Doanh số'!$I:$I,"Hợp đồng khung")</f>
        <v>2</v>
      </c>
      <c r="I126" s="171">
        <f>COUNTIFS(
'Data Doanh số'!$P:$P,'BC tuần'!$E126,
'Data Doanh số'!$I:$I,"&lt;&gt;Thi công",
'Data Doanh số'!$I:$I,"&lt;&gt;Thiết kế",'Data Doanh số'!$I:$I,"&lt;&gt;Hợp đồng khung"
)</f>
        <v>0</v>
      </c>
      <c r="J126" s="133">
        <f>SUMIFS('Data Doanh số'!$J:$J,'Data Doanh số'!$P:$P,'BC tuần'!$E126)</f>
        <v>1434529629.6296294</v>
      </c>
      <c r="K126" s="133">
        <f>SUMIFS('Data Doanh số'!$L:$L,'Data Doanh số'!$P:$P,'BC tuần'!$E126)</f>
        <v>0</v>
      </c>
      <c r="L126" s="133">
        <f>COUNTIFS('HĐ Khung chuyển đổi TC'!$L:$L,'BC tuần'!$E126)</f>
        <v>0</v>
      </c>
      <c r="M126" s="133">
        <f>SUMIFS('HĐ Khung chuyển đổi TC'!$I:$I,'HĐ Khung chuyển đổi TC'!$L:$L,'BC tuần'!$E126,'HĐ Khung chuyển đổi TC'!$Y:$Y,"2025")</f>
        <v>0</v>
      </c>
      <c r="N126" s="239">
        <f t="shared" si="42"/>
        <v>1434529629.6296294</v>
      </c>
      <c r="O126" s="240">
        <f t="shared" si="43"/>
        <v>4</v>
      </c>
    </row>
    <row r="127" spans="4:15" ht="15" x14ac:dyDescent="0.2">
      <c r="D127" s="129">
        <v>7</v>
      </c>
      <c r="E127" s="132" t="s">
        <v>92</v>
      </c>
      <c r="F127" s="143">
        <f>COUNTIFS('Data Doanh số'!$P:$P,'BC tuần'!E127,'Data Doanh số'!$I:$I,"Thiết kế")</f>
        <v>1</v>
      </c>
      <c r="G127" s="143">
        <f>COUNTIFS('Data Doanh số'!$P:$P,'BC tuần'!$E127,'Data Doanh số'!$I:$I,"Thi công")</f>
        <v>1</v>
      </c>
      <c r="H127" s="143">
        <f>COUNTIFS('Data Doanh số'!$P:$P,'BC tuần'!$E127,'Data Doanh số'!$I:$I,"Hợp đồng khung")</f>
        <v>0</v>
      </c>
      <c r="I127" s="171">
        <f>COUNTIFS(
'Data Doanh số'!$P:$P,'BC tuần'!$E127,
'Data Doanh số'!$I:$I,"&lt;&gt;Thi công",
'Data Doanh số'!$I:$I,"&lt;&gt;Thiết kế",'Data Doanh số'!$I:$I,"&lt;&gt;Hợp đồng khung"
)</f>
        <v>0</v>
      </c>
      <c r="J127" s="133">
        <f>SUMIFS('Data Doanh số'!$J:$J,'Data Doanh số'!$P:$P,'BC tuần'!$E127)</f>
        <v>44979629.629629627</v>
      </c>
      <c r="K127" s="133">
        <f>SUMIFS('Data Doanh số'!$L:$L,'Data Doanh số'!$P:$P,'BC tuần'!$E127)</f>
        <v>0</v>
      </c>
      <c r="L127" s="133">
        <f>COUNTIFS('HĐ Khung chuyển đổi TC'!$L:$L,'BC tuần'!$E127)</f>
        <v>0</v>
      </c>
      <c r="M127" s="133">
        <f>SUMIFS('HĐ Khung chuyển đổi TC'!$I:$I,'HĐ Khung chuyển đổi TC'!$L:$L,'BC tuần'!$E127,'HĐ Khung chuyển đổi TC'!$Y:$Y,"2025")</f>
        <v>0</v>
      </c>
      <c r="N127" s="239">
        <f t="shared" si="42"/>
        <v>44979629.629629627</v>
      </c>
      <c r="O127" s="240">
        <f t="shared" si="43"/>
        <v>2</v>
      </c>
    </row>
    <row r="128" spans="4:15" x14ac:dyDescent="0.2">
      <c r="D128" s="135" t="s">
        <v>530</v>
      </c>
      <c r="E128" s="136" t="s">
        <v>442</v>
      </c>
      <c r="F128" s="172">
        <f>SUBTOTAL(9,F129:F133)</f>
        <v>2</v>
      </c>
      <c r="G128" s="172">
        <f t="shared" ref="G128:I128" si="44">SUBTOTAL(9,G129:G133)</f>
        <v>13</v>
      </c>
      <c r="H128" s="172">
        <f t="shared" si="44"/>
        <v>0</v>
      </c>
      <c r="I128" s="172">
        <f t="shared" si="44"/>
        <v>1</v>
      </c>
      <c r="J128" s="172">
        <f>SUBTOTAL(9,J129:J133)</f>
        <v>16886047696.777777</v>
      </c>
      <c r="K128" s="172">
        <f t="shared" ref="K128" si="45">SUBTOTAL(9,K129:K133)</f>
        <v>0</v>
      </c>
      <c r="L128" s="172">
        <f t="shared" ref="L128" si="46">SUBTOTAL(9,L129:L133)</f>
        <v>0</v>
      </c>
      <c r="M128" s="172">
        <f t="shared" ref="M128:O128" si="47">SUBTOTAL(9,M129:M133)</f>
        <v>0</v>
      </c>
      <c r="N128" s="172">
        <f>SUBTOTAL(9,N129:N133)</f>
        <v>16886047696.777777</v>
      </c>
      <c r="O128" s="172">
        <f t="shared" si="47"/>
        <v>16</v>
      </c>
    </row>
    <row r="129" spans="4:15" ht="15" x14ac:dyDescent="0.2">
      <c r="D129" s="129">
        <v>1</v>
      </c>
      <c r="E129" s="132" t="s">
        <v>80</v>
      </c>
      <c r="F129" s="143">
        <f>COUNTIFS('Data Doanh số'!$P:$P,'BC tuần'!E129,'Data Doanh số'!$I:$I,"Thiết kế")</f>
        <v>0</v>
      </c>
      <c r="G129" s="143">
        <f>COUNTIFS('Data Doanh số'!$P:$P,'BC tuần'!$E129,'Data Doanh số'!$I:$I,"Thi công")</f>
        <v>10</v>
      </c>
      <c r="H129" s="143">
        <f>COUNTIFS('Data Doanh số'!$P:$P,'BC tuần'!$E129,'Data Doanh số'!$I:$I,"Hợp đồng khung")</f>
        <v>0</v>
      </c>
      <c r="I129" s="171">
        <f>COUNTIFS(
'Data Doanh số'!$P:$P,'BC tuần'!$E129,
'Data Doanh số'!$I:$I,"&lt;&gt;Thi công",
'Data Doanh số'!$I:$I,"&lt;&gt;Thiết kế",'Data Doanh số'!$I:$I,"&lt;&gt;Hợp đồng khung"
)</f>
        <v>0</v>
      </c>
      <c r="J129" s="133">
        <f>SUMIFS('Data Doanh số'!$J:$J,'Data Doanh số'!$P:$P,'BC tuần'!$E129)</f>
        <v>16015444856.111111</v>
      </c>
      <c r="K129" s="133">
        <f>SUMIFS('Data Doanh số'!$L:$L,'Data Doanh số'!$P:$P,'BC tuần'!$E129)</f>
        <v>0</v>
      </c>
      <c r="L129" s="133">
        <f>COUNTIFS('HĐ Khung chuyển đổi TC'!$L:$L,'BC tuần'!$E129)</f>
        <v>0</v>
      </c>
      <c r="M129" s="133">
        <f>SUMIFS('HĐ Khung chuyển đổi TC'!$I:$I,'HĐ Khung chuyển đổi TC'!$L:$L,'BC tuần'!$E129,'HĐ Khung chuyển đổi TC'!$Y:$Y,"2025")</f>
        <v>0</v>
      </c>
      <c r="N129" s="239">
        <f>+J129+M129</f>
        <v>16015444856.111111</v>
      </c>
      <c r="O129" s="240">
        <f>+F129+G129+I129+L129</f>
        <v>10</v>
      </c>
    </row>
    <row r="130" spans="4:15" ht="15" x14ac:dyDescent="0.2">
      <c r="D130" s="129">
        <v>2</v>
      </c>
      <c r="E130" s="132" t="s">
        <v>226</v>
      </c>
      <c r="F130" s="143">
        <f>COUNTIFS('Data Doanh số'!$P:$P,'BC tuần'!E130,'Data Doanh số'!$I:$I,"Thiết kế")</f>
        <v>1</v>
      </c>
      <c r="G130" s="143">
        <f>COUNTIFS('Data Doanh số'!$P:$P,'BC tuần'!$E130,'Data Doanh số'!$I:$I,"Thi công")</f>
        <v>2</v>
      </c>
      <c r="H130" s="143">
        <f>COUNTIFS('Data Doanh số'!$P:$P,'BC tuần'!$E130,'Data Doanh số'!$I:$I,"Hợp đồng khung")</f>
        <v>0</v>
      </c>
      <c r="I130" s="171">
        <f>COUNTIFS(
'Data Doanh số'!$P:$P,'BC tuần'!$E130,
'Data Doanh số'!$I:$I,"&lt;&gt;Thi công",
'Data Doanh số'!$I:$I,"&lt;&gt;Thiết kế",'Data Doanh số'!$I:$I,"&lt;&gt;Hợp đồng khung"
)</f>
        <v>0</v>
      </c>
      <c r="J130" s="133">
        <f>SUMIFS('Data Doanh số'!$J:$J,'Data Doanh số'!$P:$P,'BC tuần'!$E130)</f>
        <v>456670000</v>
      </c>
      <c r="K130" s="133">
        <f>SUMIFS('Data Doanh số'!$L:$L,'Data Doanh số'!$P:$P,'BC tuần'!$E130)</f>
        <v>0</v>
      </c>
      <c r="L130" s="133">
        <f>COUNTIFS('HĐ Khung chuyển đổi TC'!$L:$L,'BC tuần'!$E130)</f>
        <v>0</v>
      </c>
      <c r="M130" s="133">
        <f>SUMIFS('HĐ Khung chuyển đổi TC'!$I:$I,'HĐ Khung chuyển đổi TC'!$L:$L,'BC tuần'!$E130,'HĐ Khung chuyển đổi TC'!$Y:$Y,"2025")</f>
        <v>0</v>
      </c>
      <c r="N130" s="239">
        <f>+J130+M130</f>
        <v>456670000</v>
      </c>
      <c r="O130" s="240">
        <f>+F130+G130+I130+L130</f>
        <v>3</v>
      </c>
    </row>
    <row r="131" spans="4:15" ht="15" x14ac:dyDescent="0.2">
      <c r="D131" s="129">
        <v>3</v>
      </c>
      <c r="E131" s="132" t="s">
        <v>531</v>
      </c>
      <c r="F131" s="143">
        <f>COUNTIFS('Data Doanh số'!$P:$P,'BC tuần'!E131,'Data Doanh số'!$I:$I,"Thiết kế")</f>
        <v>0</v>
      </c>
      <c r="G131" s="143">
        <f>COUNTIFS('Data Doanh số'!$P:$P,'BC tuần'!$E131,'Data Doanh số'!$I:$I,"Thi công")</f>
        <v>0</v>
      </c>
      <c r="H131" s="143">
        <f>COUNTIFS('Data Doanh số'!$P:$P,'BC tuần'!$E131,'Data Doanh số'!$I:$I,"Hợp đồng khung")</f>
        <v>0</v>
      </c>
      <c r="I131" s="171">
        <f>COUNTIFS(
'Data Doanh số'!$P:$P,'BC tuần'!$E131,
'Data Doanh số'!$I:$I,"&lt;&gt;Thi công",
'Data Doanh số'!$I:$I,"&lt;&gt;Thiết kế",'Data Doanh số'!$I:$I,"&lt;&gt;Hợp đồng khung"
)</f>
        <v>0</v>
      </c>
      <c r="J131" s="133">
        <f>SUMIFS('Data Doanh số'!$J:$J,'Data Doanh số'!$P:$P,'BC tuần'!$E131)</f>
        <v>0</v>
      </c>
      <c r="K131" s="133">
        <f>SUMIFS('Data Doanh số'!$L:$L,'Data Doanh số'!$P:$P,'BC tuần'!$E131)</f>
        <v>0</v>
      </c>
      <c r="L131" s="133">
        <f>COUNTIFS('HĐ Khung chuyển đổi TC'!$L:$L,'BC tuần'!$E131)</f>
        <v>0</v>
      </c>
      <c r="M131" s="133">
        <f>SUMIFS('HĐ Khung chuyển đổi TC'!$I:$I,'HĐ Khung chuyển đổi TC'!$L:$L,'BC tuần'!$E131,'HĐ Khung chuyển đổi TC'!$Y:$Y,"2025")</f>
        <v>0</v>
      </c>
      <c r="N131" s="239">
        <f>+J131+M131</f>
        <v>0</v>
      </c>
      <c r="O131" s="240">
        <f>+F131+G131+I131+L131</f>
        <v>0</v>
      </c>
    </row>
    <row r="132" spans="4:15" ht="15" x14ac:dyDescent="0.2">
      <c r="D132" s="129">
        <v>4</v>
      </c>
      <c r="E132" s="132" t="s">
        <v>33</v>
      </c>
      <c r="F132" s="143">
        <f>COUNTIFS('Data Doanh số'!$P:$P,'BC tuần'!E132,'Data Doanh số'!$I:$I,"Thiết kế")</f>
        <v>0</v>
      </c>
      <c r="G132" s="143">
        <f>COUNTIFS('Data Doanh số'!$P:$P,'BC tuần'!$E132,'Data Doanh số'!$I:$I,"Thi công")</f>
        <v>1</v>
      </c>
      <c r="H132" s="143">
        <f>COUNTIFS('Data Doanh số'!$P:$P,'BC tuần'!$E132,'Data Doanh số'!$I:$I,"Hợp đồng khung")</f>
        <v>0</v>
      </c>
      <c r="I132" s="171">
        <f>COUNTIFS(
'Data Doanh số'!$P:$P,'BC tuần'!$E132,
'Data Doanh số'!$I:$I,"&lt;&gt;Thi công",
'Data Doanh số'!$I:$I,"&lt;&gt;Thiết kế",'Data Doanh số'!$I:$I,"&lt;&gt;Hợp đồng khung"
)</f>
        <v>1</v>
      </c>
      <c r="J132" s="133">
        <f>SUMIFS('Data Doanh số'!$J:$J,'Data Doanh số'!$P:$P,'BC tuần'!$E132)</f>
        <v>410266174</v>
      </c>
      <c r="K132" s="133">
        <f>SUMIFS('Data Doanh số'!$L:$L,'Data Doanh số'!$P:$P,'BC tuần'!$E132)</f>
        <v>0</v>
      </c>
      <c r="L132" s="133">
        <f>COUNTIFS('HĐ Khung chuyển đổi TC'!$L:$L,'BC tuần'!$E132)</f>
        <v>0</v>
      </c>
      <c r="M132" s="133">
        <f>SUMIFS('HĐ Khung chuyển đổi TC'!$I:$I,'HĐ Khung chuyển đổi TC'!$L:$L,'BC tuần'!$E132,'HĐ Khung chuyển đổi TC'!$Y:$Y,"2025")</f>
        <v>0</v>
      </c>
      <c r="N132" s="239">
        <f>+J132+M132</f>
        <v>410266174</v>
      </c>
      <c r="O132" s="240">
        <f>+F132+G132+I132+L132</f>
        <v>2</v>
      </c>
    </row>
    <row r="133" spans="4:15" ht="15" x14ac:dyDescent="0.2">
      <c r="D133" s="129">
        <v>5</v>
      </c>
      <c r="E133" s="132" t="s">
        <v>126</v>
      </c>
      <c r="F133" s="143">
        <f>COUNTIFS('Data Doanh số'!$P:$P,'BC tuần'!E133,'Data Doanh số'!$I:$I,"Thiết kế")</f>
        <v>1</v>
      </c>
      <c r="G133" s="143">
        <f>COUNTIFS('Data Doanh số'!$P:$P,'BC tuần'!$E133,'Data Doanh số'!$I:$I,"Thi công")</f>
        <v>0</v>
      </c>
      <c r="H133" s="143">
        <f>COUNTIFS('Data Doanh số'!$P:$P,'BC tuần'!$E133,'Data Doanh số'!$I:$I,"Hợp đồng khung")</f>
        <v>0</v>
      </c>
      <c r="I133" s="171">
        <f>COUNTIFS(
'Data Doanh số'!$P:$P,'BC tuần'!$E133,
'Data Doanh số'!$I:$I,"&lt;&gt;Thi công",
'Data Doanh số'!$I:$I,"&lt;&gt;Thiết kế",'Data Doanh số'!$I:$I,"&lt;&gt;Hợp đồng khung"
)</f>
        <v>0</v>
      </c>
      <c r="J133" s="133">
        <f>SUMIFS('Data Doanh số'!$J:$J,'Data Doanh số'!$P:$P,'BC tuần'!$E133)</f>
        <v>3666666.6666666665</v>
      </c>
      <c r="K133" s="133">
        <f>SUMIFS('Data Doanh số'!$L:$L,'Data Doanh số'!$P:$P,'BC tuần'!$E133)</f>
        <v>0</v>
      </c>
      <c r="L133" s="133">
        <f>COUNTIFS('HĐ Khung chuyển đổi TC'!$L:$L,'BC tuần'!$E133)</f>
        <v>0</v>
      </c>
      <c r="M133" s="133">
        <f>SUMIFS('HĐ Khung chuyển đổi TC'!$I:$I,'HĐ Khung chuyển đổi TC'!$L:$L,'BC tuần'!$E133,'HĐ Khung chuyển đổi TC'!$Y:$Y,"2025")</f>
        <v>0</v>
      </c>
      <c r="N133" s="239">
        <f>+J133+M133</f>
        <v>3666666.6666666665</v>
      </c>
      <c r="O133" s="240">
        <f>+F133+G133+I133+L133</f>
        <v>1</v>
      </c>
    </row>
    <row r="134" spans="4:15" x14ac:dyDescent="0.2">
      <c r="D134" s="135" t="s">
        <v>532</v>
      </c>
      <c r="E134" s="136" t="s">
        <v>117</v>
      </c>
      <c r="F134" s="172">
        <f>SUBTOTAL(9,F135:F136)</f>
        <v>0</v>
      </c>
      <c r="G134" s="172">
        <f t="shared" ref="G134:O134" si="48">SUBTOTAL(9,G135:G136)</f>
        <v>0</v>
      </c>
      <c r="H134" s="172">
        <f t="shared" si="48"/>
        <v>0</v>
      </c>
      <c r="I134" s="172">
        <f t="shared" si="48"/>
        <v>1132</v>
      </c>
      <c r="J134" s="172">
        <f t="shared" si="48"/>
        <v>62330365.740740731</v>
      </c>
      <c r="K134" s="172">
        <f t="shared" si="48"/>
        <v>0</v>
      </c>
      <c r="L134" s="172">
        <f t="shared" si="48"/>
        <v>0</v>
      </c>
      <c r="M134" s="172">
        <f t="shared" si="48"/>
        <v>0</v>
      </c>
      <c r="N134" s="172">
        <f t="shared" si="48"/>
        <v>62330365.740740731</v>
      </c>
      <c r="O134" s="172">
        <f t="shared" si="48"/>
        <v>1132</v>
      </c>
    </row>
    <row r="135" spans="4:15" ht="15" x14ac:dyDescent="0.2">
      <c r="D135" s="129">
        <v>1</v>
      </c>
      <c r="E135" s="132" t="s">
        <v>467</v>
      </c>
      <c r="F135" s="143">
        <f>COUNTIFS('Data Doanh số'!$P:$P,'BC tuần'!E135,'Data Doanh số'!$I:$I,"Thiết kế")</f>
        <v>0</v>
      </c>
      <c r="G135" s="143">
        <f>COUNTIFS('Data Doanh số'!$P:$P,'BC tuần'!$E135,'Data Doanh số'!$I:$I,"Thi công",'Data Doanh số'!$X:$X,"3")</f>
        <v>0</v>
      </c>
      <c r="H135" s="143">
        <f>COUNTIFS('Data Doanh số'!$P:$P,'BC tuần'!$E135,'Data Doanh số'!$I:$I,"Hợp đồng khung")</f>
        <v>0</v>
      </c>
      <c r="I135" s="171">
        <v>478</v>
      </c>
      <c r="J135" s="133">
        <f>SUMIFS('Data Doanh số'!$J:$J,'Data Doanh số'!$P:$P,'BC tuần'!$E135)</f>
        <v>0</v>
      </c>
      <c r="K135" s="133">
        <f>SUMIFS('Data Doanh số'!$L:$L,'Data Doanh số'!$P:$P,'BC tuần'!$E135)</f>
        <v>0</v>
      </c>
      <c r="L135" s="133">
        <f>COUNTIFS('HĐ Khung chuyển đổi TC'!$L:$L,'BC tuần'!$E135)</f>
        <v>0</v>
      </c>
      <c r="M135" s="133">
        <f>SUMIFS('HĐ Khung chuyển đổi TC'!$I:$I,'HĐ Khung chuyển đổi TC'!$L:$L,'BC tuần'!$E135,'HĐ Khung chuyển đổi TC'!$Y:$Y,"2025")</f>
        <v>0</v>
      </c>
      <c r="N135" s="239">
        <f>+J135+M135</f>
        <v>0</v>
      </c>
      <c r="O135" s="240">
        <f>+F135+G135+I135+L135</f>
        <v>478</v>
      </c>
    </row>
    <row r="136" spans="4:15" ht="15" x14ac:dyDescent="0.2">
      <c r="D136" s="129">
        <v>2</v>
      </c>
      <c r="E136" s="132" t="s">
        <v>118</v>
      </c>
      <c r="F136" s="143">
        <f>COUNTIFS('Data Doanh số'!$P:$P,'BC tuần'!E136,'Data Doanh số'!$I:$I,"Thiết kế")</f>
        <v>0</v>
      </c>
      <c r="G136" s="143">
        <f>COUNTIFS('Data Doanh số'!$P:$P,'BC tuần'!$E136,'Data Doanh số'!$I:$I,"Thi công",'Data Doanh số'!$X:$X,"3")</f>
        <v>0</v>
      </c>
      <c r="H136" s="143">
        <f>COUNTIFS('Data Doanh số'!$P:$P,'BC tuần'!$E136,'Data Doanh số'!$I:$I,"Hợp đồng khung")</f>
        <v>0</v>
      </c>
      <c r="I136" s="171">
        <v>654</v>
      </c>
      <c r="J136" s="133">
        <f>SUMIFS('Data Doanh số'!$J:$J,'Data Doanh số'!$P:$P,'BC tuần'!$E136)</f>
        <v>62330365.740740731</v>
      </c>
      <c r="K136" s="133">
        <f>SUMIFS('Data Doanh số'!$L:$L,'Data Doanh số'!$P:$P,'BC tuần'!$E136)</f>
        <v>0</v>
      </c>
      <c r="L136" s="133">
        <f>COUNTIFS('HĐ Khung chuyển đổi TC'!$L:$L,'BC tuần'!$E136)</f>
        <v>0</v>
      </c>
      <c r="M136" s="133">
        <f>SUMIFS('HĐ Khung chuyển đổi TC'!$I:$I,'HĐ Khung chuyển đổi TC'!$L:$L,'BC tuần'!$E136,'HĐ Khung chuyển đổi TC'!$Y:$Y,"2025")</f>
        <v>0</v>
      </c>
      <c r="N136" s="239">
        <f>+J136+M136</f>
        <v>62330365.740740731</v>
      </c>
      <c r="O136" s="240">
        <f>+F136+G136+I136+L136</f>
        <v>654</v>
      </c>
    </row>
    <row r="137" spans="4:15" x14ac:dyDescent="0.2">
      <c r="D137" s="360" t="s">
        <v>447</v>
      </c>
      <c r="E137" s="360"/>
      <c r="F137" s="141">
        <f t="shared" ref="F137:O137" si="49">SUBTOTAL(9,F107:F136)</f>
        <v>48</v>
      </c>
      <c r="G137" s="141">
        <f t="shared" si="49"/>
        <v>50</v>
      </c>
      <c r="H137" s="141">
        <f t="shared" si="49"/>
        <v>4</v>
      </c>
      <c r="I137" s="141">
        <f t="shared" si="49"/>
        <v>1140</v>
      </c>
      <c r="J137" s="141">
        <f t="shared" si="49"/>
        <v>34075706870.123459</v>
      </c>
      <c r="K137" s="141">
        <f t="shared" si="49"/>
        <v>2050000000</v>
      </c>
      <c r="L137" s="141">
        <f t="shared" si="49"/>
        <v>11</v>
      </c>
      <c r="M137" s="141">
        <f t="shared" si="49"/>
        <v>10099100936.074074</v>
      </c>
      <c r="N137" s="141">
        <f t="shared" si="49"/>
        <v>44174807806.197525</v>
      </c>
      <c r="O137" s="141">
        <f t="shared" si="49"/>
        <v>1249</v>
      </c>
    </row>
    <row r="142" spans="4:15" x14ac:dyDescent="0.2">
      <c r="E142" s="237" t="s">
        <v>544</v>
      </c>
    </row>
    <row r="144" spans="4:15" ht="15" x14ac:dyDescent="0.2">
      <c r="E144" s="234" t="s">
        <v>545</v>
      </c>
      <c r="F144" s="234" t="s">
        <v>499</v>
      </c>
      <c r="G144" s="234" t="s">
        <v>396</v>
      </c>
    </row>
    <row r="145" spans="5:7" ht="15" x14ac:dyDescent="0.2">
      <c r="E145" s="132" t="s">
        <v>71</v>
      </c>
      <c r="F145" s="165">
        <f t="shared" ref="F145:F158" si="50">VLOOKUP(E145,$E$2:$M$30,8,FALSE)</f>
        <v>0</v>
      </c>
      <c r="G145" s="165">
        <f t="shared" ref="G145:G158" si="51">VLOOKUP(E145,$E$2:$M$30,9,FALSE)</f>
        <v>0</v>
      </c>
    </row>
    <row r="146" spans="5:7" ht="15" x14ac:dyDescent="0.2">
      <c r="E146" s="132" t="s">
        <v>87</v>
      </c>
      <c r="F146" s="165">
        <f t="shared" si="50"/>
        <v>0</v>
      </c>
      <c r="G146" s="165">
        <f t="shared" si="51"/>
        <v>0</v>
      </c>
    </row>
    <row r="147" spans="5:7" ht="15" x14ac:dyDescent="0.2">
      <c r="E147" s="132" t="s">
        <v>42</v>
      </c>
      <c r="F147" s="165">
        <f t="shared" si="50"/>
        <v>8962963</v>
      </c>
      <c r="G147" s="165">
        <f t="shared" si="51"/>
        <v>1</v>
      </c>
    </row>
    <row r="148" spans="5:7" ht="15" x14ac:dyDescent="0.2">
      <c r="E148" s="132" t="s">
        <v>105</v>
      </c>
      <c r="F148" s="165">
        <f t="shared" si="50"/>
        <v>0</v>
      </c>
      <c r="G148" s="165">
        <f t="shared" si="51"/>
        <v>0</v>
      </c>
    </row>
    <row r="149" spans="5:7" ht="15" x14ac:dyDescent="0.2">
      <c r="E149" s="132" t="s">
        <v>83</v>
      </c>
      <c r="F149" s="165">
        <f t="shared" si="50"/>
        <v>0</v>
      </c>
      <c r="G149" s="165">
        <f t="shared" si="51"/>
        <v>0</v>
      </c>
    </row>
    <row r="150" spans="5:7" ht="15" x14ac:dyDescent="0.2">
      <c r="E150" s="132" t="s">
        <v>140</v>
      </c>
      <c r="F150" s="165">
        <f t="shared" si="50"/>
        <v>0</v>
      </c>
      <c r="G150" s="165">
        <f t="shared" si="51"/>
        <v>0</v>
      </c>
    </row>
    <row r="151" spans="5:7" ht="15" x14ac:dyDescent="0.2">
      <c r="E151" s="132" t="s">
        <v>153</v>
      </c>
      <c r="F151" s="165">
        <f t="shared" si="50"/>
        <v>0</v>
      </c>
      <c r="G151" s="165">
        <f t="shared" si="51"/>
        <v>0</v>
      </c>
    </row>
    <row r="152" spans="5:7" ht="15" x14ac:dyDescent="0.2">
      <c r="E152" s="132" t="s">
        <v>55</v>
      </c>
      <c r="F152" s="165">
        <f t="shared" si="50"/>
        <v>0</v>
      </c>
      <c r="G152" s="165">
        <f t="shared" si="51"/>
        <v>0</v>
      </c>
    </row>
    <row r="153" spans="5:7" ht="15" x14ac:dyDescent="0.2">
      <c r="E153" s="132" t="s">
        <v>210</v>
      </c>
      <c r="F153" s="165">
        <f t="shared" si="50"/>
        <v>0</v>
      </c>
      <c r="G153" s="165">
        <f t="shared" si="51"/>
        <v>0</v>
      </c>
    </row>
    <row r="154" spans="5:7" ht="15" x14ac:dyDescent="0.2">
      <c r="E154" s="132" t="s">
        <v>170</v>
      </c>
      <c r="F154" s="165">
        <f t="shared" si="50"/>
        <v>0</v>
      </c>
      <c r="G154" s="165">
        <f t="shared" si="51"/>
        <v>0</v>
      </c>
    </row>
    <row r="155" spans="5:7" ht="15" x14ac:dyDescent="0.2">
      <c r="E155" s="132" t="s">
        <v>63</v>
      </c>
      <c r="F155" s="165">
        <f t="shared" si="50"/>
        <v>0</v>
      </c>
      <c r="G155" s="165">
        <f t="shared" si="51"/>
        <v>0</v>
      </c>
    </row>
    <row r="156" spans="5:7" ht="15" x14ac:dyDescent="0.2">
      <c r="E156" s="132" t="s">
        <v>59</v>
      </c>
      <c r="F156" s="165">
        <f t="shared" si="50"/>
        <v>0</v>
      </c>
      <c r="G156" s="165">
        <f t="shared" si="51"/>
        <v>0</v>
      </c>
    </row>
    <row r="157" spans="5:7" ht="15" x14ac:dyDescent="0.2">
      <c r="E157" s="132" t="s">
        <v>80</v>
      </c>
      <c r="F157" s="165">
        <f t="shared" si="50"/>
        <v>0</v>
      </c>
      <c r="G157" s="165">
        <f t="shared" si="51"/>
        <v>0</v>
      </c>
    </row>
    <row r="158" spans="5:7" ht="15" x14ac:dyDescent="0.2">
      <c r="E158" s="132" t="s">
        <v>467</v>
      </c>
      <c r="F158" s="165">
        <f t="shared" si="50"/>
        <v>0</v>
      </c>
      <c r="G158" s="165">
        <f t="shared" si="51"/>
        <v>11</v>
      </c>
    </row>
    <row r="161" spans="5:9" x14ac:dyDescent="0.2">
      <c r="E161" s="237" t="s">
        <v>498</v>
      </c>
      <c r="F161" s="237">
        <v>4</v>
      </c>
    </row>
    <row r="163" spans="5:9" ht="15" x14ac:dyDescent="0.2">
      <c r="E163" s="241" t="s">
        <v>545</v>
      </c>
      <c r="F163" s="241" t="s">
        <v>490</v>
      </c>
      <c r="G163" s="241" t="s">
        <v>499</v>
      </c>
      <c r="H163" s="241" t="s">
        <v>396</v>
      </c>
      <c r="I163" s="241" t="s">
        <v>546</v>
      </c>
    </row>
    <row r="164" spans="5:9" ht="15" x14ac:dyDescent="0.2">
      <c r="E164" s="132" t="s">
        <v>80</v>
      </c>
      <c r="F164" s="133">
        <f>VLOOKUP(E164,'KPI theo nhân sự'!$C$1:$R$31,6,FALSE)</f>
        <v>400000000</v>
      </c>
      <c r="G164" s="165">
        <f>VLOOKUP(E164,$E$35:$M$63,8,FALSE)</f>
        <v>0</v>
      </c>
      <c r="H164" s="165">
        <f>VLOOKUP(E164,$E$35:$M$63,9,FALSE)</f>
        <v>0</v>
      </c>
      <c r="I164" s="257">
        <f t="shared" ref="I164:I173" si="52">+G164/F164</f>
        <v>0</v>
      </c>
    </row>
    <row r="165" spans="5:9" ht="15" x14ac:dyDescent="0.2">
      <c r="E165" s="132" t="s">
        <v>210</v>
      </c>
      <c r="F165" s="133" t="str">
        <f>VLOOKUP(E165,'KPI theo nhân sự'!$C$1:$R$31,6,FALSE)</f>
        <v> </v>
      </c>
      <c r="G165" s="165">
        <f>VLOOKUP(E165,$E$35:$M$63,8,FALSE)</f>
        <v>0</v>
      </c>
      <c r="H165" s="165">
        <f>VLOOKUP(E165,$E$35:$M$63,9,FALSE)</f>
        <v>0</v>
      </c>
      <c r="I165" s="257" t="e">
        <f t="shared" si="52"/>
        <v>#VALUE!</v>
      </c>
    </row>
    <row r="166" spans="5:9" ht="15" x14ac:dyDescent="0.2">
      <c r="E166" s="132" t="s">
        <v>140</v>
      </c>
      <c r="F166" s="133">
        <f>VLOOKUP(E166,'KPI theo nhân sự'!$C$1:$R$31,6,FALSE)</f>
        <v>300000000</v>
      </c>
      <c r="G166" s="165">
        <f>VLOOKUP(E166,$E$35:$M$63,8,FALSE)</f>
        <v>0</v>
      </c>
      <c r="H166" s="165">
        <f>VLOOKUP(E166,$E$35:$M$63,9,FALSE)</f>
        <v>0</v>
      </c>
      <c r="I166" s="257">
        <f t="shared" si="52"/>
        <v>0</v>
      </c>
    </row>
    <row r="167" spans="5:9" ht="15" x14ac:dyDescent="0.2">
      <c r="E167" s="132" t="s">
        <v>83</v>
      </c>
      <c r="F167" s="133">
        <f>VLOOKUP(E167,'KPI theo nhân sự'!$C$1:$R$31,6,FALSE)</f>
        <v>300000000</v>
      </c>
      <c r="G167" s="165">
        <f>VLOOKUP(E167,$E$35:$M$63,8,FALSE)</f>
        <v>669074079.81481481</v>
      </c>
      <c r="H167" s="165">
        <f>VLOOKUP(E167,$E$35:$M$63,9,FALSE)</f>
        <v>6</v>
      </c>
      <c r="I167" s="257">
        <f t="shared" si="52"/>
        <v>2.2302469327160495</v>
      </c>
    </row>
    <row r="168" spans="5:9" ht="15" x14ac:dyDescent="0.2">
      <c r="E168" s="132" t="s">
        <v>345</v>
      </c>
      <c r="F168" s="133" t="str">
        <f>VLOOKUP(E168,'KPI theo nhân sự'!$C$1:$R$31,6,FALSE)</f>
        <v> </v>
      </c>
      <c r="G168" s="165">
        <v>0</v>
      </c>
      <c r="H168" s="165"/>
      <c r="I168" s="257" t="e">
        <f t="shared" si="52"/>
        <v>#VALUE!</v>
      </c>
    </row>
    <row r="169" spans="5:9" ht="15" hidden="1" x14ac:dyDescent="0.2">
      <c r="E169" s="132" t="s">
        <v>170</v>
      </c>
      <c r="F169" s="133">
        <f>VLOOKUP(E169,'KPI theo nhân sự'!$C$1:$R$31,6,FALSE)</f>
        <v>500000000</v>
      </c>
      <c r="G169" s="165">
        <f t="shared" ref="G169:G185" si="53">VLOOKUP(E169,$E$35:$M$63,8,FALSE)</f>
        <v>0</v>
      </c>
      <c r="H169" s="165">
        <f t="shared" ref="H169:H185" si="54">VLOOKUP(E169,$E$35:$M$63,9,FALSE)</f>
        <v>0</v>
      </c>
      <c r="I169" s="257">
        <f t="shared" si="52"/>
        <v>0</v>
      </c>
    </row>
    <row r="170" spans="5:9" ht="15" x14ac:dyDescent="0.2">
      <c r="E170" s="132" t="s">
        <v>236</v>
      </c>
      <c r="F170" s="133" t="str">
        <f>VLOOKUP(E170,'KPI theo nhân sự'!$C$1:$R$31,6,FALSE)</f>
        <v> </v>
      </c>
      <c r="G170" s="165">
        <f t="shared" si="53"/>
        <v>0</v>
      </c>
      <c r="H170" s="165">
        <f t="shared" si="54"/>
        <v>0</v>
      </c>
      <c r="I170" s="257" t="e">
        <f t="shared" si="52"/>
        <v>#VALUE!</v>
      </c>
    </row>
    <row r="171" spans="5:9" ht="15" x14ac:dyDescent="0.2">
      <c r="E171" s="132" t="s">
        <v>467</v>
      </c>
      <c r="F171" s="133">
        <f>VLOOKUP(E171,'KPI theo nhân sự'!$C$1:$R$31,6,FALSE)</f>
        <v>0</v>
      </c>
      <c r="G171" s="165">
        <f t="shared" si="53"/>
        <v>0</v>
      </c>
      <c r="H171" s="165">
        <f t="shared" si="54"/>
        <v>25</v>
      </c>
      <c r="I171" s="257" t="e">
        <f t="shared" si="52"/>
        <v>#DIV/0!</v>
      </c>
    </row>
    <row r="172" spans="5:9" ht="15" hidden="1" x14ac:dyDescent="0.2">
      <c r="E172" s="132" t="s">
        <v>71</v>
      </c>
      <c r="F172" s="133">
        <f>VLOOKUP(E172,'KPI theo nhân sự'!$C$1:$R$31,6,FALSE)</f>
        <v>300000000</v>
      </c>
      <c r="G172" s="165">
        <f t="shared" si="53"/>
        <v>43897628.700000003</v>
      </c>
      <c r="H172" s="165">
        <f t="shared" si="54"/>
        <v>1</v>
      </c>
      <c r="I172" s="257">
        <f t="shared" si="52"/>
        <v>0.14632542900000001</v>
      </c>
    </row>
    <row r="173" spans="5:9" ht="15" hidden="1" x14ac:dyDescent="0.2">
      <c r="E173" s="132" t="s">
        <v>153</v>
      </c>
      <c r="F173" s="133">
        <f>VLOOKUP(E173,'KPI theo nhân sự'!$C$1:$R$31,6,FALSE)</f>
        <v>600000000</v>
      </c>
      <c r="G173" s="165">
        <f t="shared" si="53"/>
        <v>0</v>
      </c>
      <c r="H173" s="165">
        <f t="shared" si="54"/>
        <v>0</v>
      </c>
      <c r="I173" s="257">
        <f t="shared" si="52"/>
        <v>0</v>
      </c>
    </row>
    <row r="174" spans="5:9" ht="15" x14ac:dyDescent="0.2">
      <c r="E174" s="132" t="s">
        <v>113</v>
      </c>
      <c r="F174" s="133">
        <f>VLOOKUP(E174,'KPI theo nhân sự'!$C$1:$R$31,6,FALSE)</f>
        <v>300000000</v>
      </c>
      <c r="G174" s="165">
        <f t="shared" si="53"/>
        <v>59907407.222222224</v>
      </c>
      <c r="H174" s="165">
        <f t="shared" si="54"/>
        <v>2</v>
      </c>
      <c r="I174" s="257"/>
    </row>
    <row r="175" spans="5:9" ht="15" x14ac:dyDescent="0.2">
      <c r="E175" s="132" t="s">
        <v>531</v>
      </c>
      <c r="F175" s="133" t="e">
        <f>VLOOKUP(E175,'KPI theo nhân sự'!$C$1:$R$31,6,FALSE)</f>
        <v>#N/A</v>
      </c>
      <c r="G175" s="165">
        <f t="shared" si="53"/>
        <v>0</v>
      </c>
      <c r="H175" s="165">
        <f t="shared" si="54"/>
        <v>0</v>
      </c>
      <c r="I175" s="257" t="e">
        <f t="shared" ref="I175:I186" si="55">+G175/F175</f>
        <v>#N/A</v>
      </c>
    </row>
    <row r="176" spans="5:9" ht="15" hidden="1" x14ac:dyDescent="0.2">
      <c r="E176" s="132" t="s">
        <v>59</v>
      </c>
      <c r="F176" s="133">
        <f>VLOOKUP(E176,'KPI theo nhân sự'!$C$1:$R$31,6,FALSE)</f>
        <v>500000000</v>
      </c>
      <c r="G176" s="165">
        <f t="shared" si="53"/>
        <v>0</v>
      </c>
      <c r="H176" s="165">
        <f t="shared" si="54"/>
        <v>0</v>
      </c>
      <c r="I176" s="257">
        <f t="shared" si="55"/>
        <v>0</v>
      </c>
    </row>
    <row r="177" spans="5:9" ht="15" hidden="1" x14ac:dyDescent="0.2">
      <c r="E177" s="132" t="s">
        <v>257</v>
      </c>
      <c r="F177" s="133" t="str">
        <f>VLOOKUP(E177,'KPI theo nhân sự'!$C$1:$R$31,6,FALSE)</f>
        <v> </v>
      </c>
      <c r="G177" s="165">
        <f t="shared" si="53"/>
        <v>0</v>
      </c>
      <c r="H177" s="165">
        <f t="shared" si="54"/>
        <v>0</v>
      </c>
      <c r="I177" s="257" t="e">
        <f t="shared" si="55"/>
        <v>#VALUE!</v>
      </c>
    </row>
    <row r="178" spans="5:9" ht="15" hidden="1" x14ac:dyDescent="0.2">
      <c r="E178" s="132" t="s">
        <v>105</v>
      </c>
      <c r="F178" s="133">
        <f>VLOOKUP(E178,'KPI theo nhân sự'!$C$1:$R$31,6,FALSE)</f>
        <v>350000000</v>
      </c>
      <c r="G178" s="165">
        <f t="shared" si="53"/>
        <v>0</v>
      </c>
      <c r="H178" s="165">
        <f t="shared" si="54"/>
        <v>0</v>
      </c>
      <c r="I178" s="257">
        <f t="shared" si="55"/>
        <v>0</v>
      </c>
    </row>
    <row r="179" spans="5:9" ht="15" x14ac:dyDescent="0.2">
      <c r="E179" s="132" t="s">
        <v>312</v>
      </c>
      <c r="F179" s="133">
        <f>VLOOKUP(E179,'KPI theo nhân sự'!$C$1:$R$31,6,FALSE)</f>
        <v>0</v>
      </c>
      <c r="G179" s="165">
        <f t="shared" si="53"/>
        <v>4662324855</v>
      </c>
      <c r="H179" s="165">
        <f t="shared" si="54"/>
        <v>3</v>
      </c>
      <c r="I179" s="257" t="e">
        <f t="shared" si="55"/>
        <v>#DIV/0!</v>
      </c>
    </row>
    <row r="180" spans="5:9" ht="15" hidden="1" x14ac:dyDescent="0.2">
      <c r="E180" s="132" t="s">
        <v>445</v>
      </c>
      <c r="F180" s="133">
        <f>VLOOKUP(E180,'KPI theo nhân sự'!$C$1:$R$31,6,FALSE)</f>
        <v>400000000</v>
      </c>
      <c r="G180" s="165">
        <f t="shared" si="53"/>
        <v>0</v>
      </c>
      <c r="H180" s="165">
        <f t="shared" si="54"/>
        <v>0</v>
      </c>
      <c r="I180" s="257">
        <f t="shared" si="55"/>
        <v>0</v>
      </c>
    </row>
    <row r="181" spans="5:9" ht="15" x14ac:dyDescent="0.2">
      <c r="E181" s="134" t="s">
        <v>63</v>
      </c>
      <c r="F181" s="133">
        <f>VLOOKUP(E181,'KPI theo nhân sự'!$C$1:$R$31,6,FALSE)</f>
        <v>500000000</v>
      </c>
      <c r="G181" s="165">
        <f t="shared" si="53"/>
        <v>0</v>
      </c>
      <c r="H181" s="165">
        <f t="shared" si="54"/>
        <v>0</v>
      </c>
      <c r="I181" s="257">
        <f t="shared" si="55"/>
        <v>0</v>
      </c>
    </row>
    <row r="182" spans="5:9" ht="15" x14ac:dyDescent="0.2">
      <c r="E182" s="134" t="s">
        <v>42</v>
      </c>
      <c r="F182" s="133">
        <f>VLOOKUP(E182,'KPI theo nhân sự'!$C$1:$R$31,6,FALSE)</f>
        <v>300000000</v>
      </c>
      <c r="G182" s="165">
        <f t="shared" si="53"/>
        <v>350880555</v>
      </c>
      <c r="H182" s="165">
        <f t="shared" si="54"/>
        <v>4</v>
      </c>
      <c r="I182" s="257">
        <f t="shared" si="55"/>
        <v>1.1696018500000001</v>
      </c>
    </row>
    <row r="183" spans="5:9" ht="15" x14ac:dyDescent="0.2">
      <c r="E183" s="134" t="s">
        <v>226</v>
      </c>
      <c r="F183" s="133" t="str">
        <f>VLOOKUP(E183,'KPI theo nhân sự'!$C$1:$R$31,6,FALSE)</f>
        <v> </v>
      </c>
      <c r="G183" s="165">
        <f t="shared" si="53"/>
        <v>356000000</v>
      </c>
      <c r="H183" s="165">
        <f t="shared" si="54"/>
        <v>1</v>
      </c>
      <c r="I183" s="257" t="e">
        <f t="shared" si="55"/>
        <v>#VALUE!</v>
      </c>
    </row>
    <row r="184" spans="5:9" ht="15" x14ac:dyDescent="0.2">
      <c r="E184" s="134" t="s">
        <v>529</v>
      </c>
      <c r="F184" s="133" t="e">
        <f>VLOOKUP(E184,'KPI theo nhân sự'!$C$1:$R$31,6,FALSE)</f>
        <v>#N/A</v>
      </c>
      <c r="G184" s="165">
        <f t="shared" si="53"/>
        <v>0</v>
      </c>
      <c r="H184" s="165">
        <f t="shared" si="54"/>
        <v>0</v>
      </c>
      <c r="I184" s="257" t="e">
        <f t="shared" si="55"/>
        <v>#N/A</v>
      </c>
    </row>
    <row r="185" spans="5:9" ht="15" hidden="1" x14ac:dyDescent="0.2">
      <c r="E185" s="134" t="s">
        <v>87</v>
      </c>
      <c r="F185" s="133">
        <f>VLOOKUP(E185,'KPI theo nhân sự'!$C$1:$R$31,6,FALSE)</f>
        <v>300000000</v>
      </c>
      <c r="G185" s="165">
        <f t="shared" si="53"/>
        <v>0</v>
      </c>
      <c r="H185" s="165">
        <f t="shared" si="54"/>
        <v>0</v>
      </c>
      <c r="I185" s="257">
        <f t="shared" si="55"/>
        <v>0</v>
      </c>
    </row>
    <row r="186" spans="5:9" ht="15" x14ac:dyDescent="0.2">
      <c r="E186" s="130" t="s">
        <v>447</v>
      </c>
      <c r="F186" s="256" t="e">
        <f>SUM(F164:F185)</f>
        <v>#N/A</v>
      </c>
      <c r="G186" s="236">
        <f>SUM(G164:G185)</f>
        <v>6142084525.7370367</v>
      </c>
      <c r="H186" s="236">
        <f>SUM(H164:H185)</f>
        <v>42</v>
      </c>
      <c r="I186" s="258" t="e">
        <f t="shared" si="55"/>
        <v>#N/A</v>
      </c>
    </row>
    <row r="187" spans="5:9" x14ac:dyDescent="0.2">
      <c r="E187" s="237" t="s">
        <v>26</v>
      </c>
      <c r="H187" s="242"/>
    </row>
    <row r="188" spans="5:9" x14ac:dyDescent="0.2">
      <c r="H188" s="242"/>
    </row>
    <row r="189" spans="5:9" ht="15" x14ac:dyDescent="0.2">
      <c r="E189" s="234" t="s">
        <v>545</v>
      </c>
      <c r="F189" s="234" t="s">
        <v>499</v>
      </c>
      <c r="G189" s="234" t="s">
        <v>396</v>
      </c>
      <c r="H189" s="233" t="s">
        <v>490</v>
      </c>
      <c r="I189" s="233" t="s">
        <v>491</v>
      </c>
    </row>
    <row r="190" spans="5:9" ht="15" hidden="1" x14ac:dyDescent="0.2">
      <c r="E190" s="132" t="s">
        <v>105</v>
      </c>
      <c r="F190" s="165">
        <f t="shared" ref="F190:F214" si="56">VLOOKUP(E190,$E$68:$M$100,8,FALSE)</f>
        <v>0</v>
      </c>
      <c r="G190" s="165">
        <f t="shared" ref="G190:G214" si="57">VLOOKUP(E190,$E$68:$M$100,9,FALSE)</f>
        <v>0</v>
      </c>
      <c r="H190" s="165"/>
      <c r="I190" s="235" t="e">
        <f t="shared" ref="I190:I196" si="58">+F190/H190</f>
        <v>#DIV/0!</v>
      </c>
    </row>
    <row r="191" spans="5:9" ht="15" hidden="1" x14ac:dyDescent="0.2">
      <c r="E191" s="132" t="s">
        <v>55</v>
      </c>
      <c r="F191" s="165">
        <f t="shared" si="56"/>
        <v>0</v>
      </c>
      <c r="G191" s="165">
        <f t="shared" si="57"/>
        <v>0</v>
      </c>
      <c r="H191" s="165"/>
      <c r="I191" s="235" t="e">
        <f t="shared" si="58"/>
        <v>#DIV/0!</v>
      </c>
    </row>
    <row r="192" spans="5:9" ht="15" hidden="1" x14ac:dyDescent="0.2">
      <c r="E192" s="132" t="s">
        <v>87</v>
      </c>
      <c r="F192" s="165">
        <f t="shared" si="56"/>
        <v>0</v>
      </c>
      <c r="G192" s="165">
        <f t="shared" si="57"/>
        <v>0</v>
      </c>
      <c r="H192" s="165"/>
      <c r="I192" s="235" t="e">
        <f t="shared" si="58"/>
        <v>#DIV/0!</v>
      </c>
    </row>
    <row r="193" spans="5:9" ht="15" hidden="1" x14ac:dyDescent="0.2">
      <c r="E193" s="132" t="s">
        <v>33</v>
      </c>
      <c r="F193" s="165">
        <f t="shared" si="56"/>
        <v>0</v>
      </c>
      <c r="G193" s="165">
        <f t="shared" si="57"/>
        <v>0</v>
      </c>
      <c r="H193" s="165"/>
      <c r="I193" s="235" t="e">
        <f t="shared" si="58"/>
        <v>#DIV/0!</v>
      </c>
    </row>
    <row r="194" spans="5:9" ht="15" hidden="1" x14ac:dyDescent="0.2">
      <c r="E194" s="132" t="s">
        <v>126</v>
      </c>
      <c r="F194" s="165">
        <f t="shared" si="56"/>
        <v>0</v>
      </c>
      <c r="G194" s="165">
        <f t="shared" si="57"/>
        <v>0</v>
      </c>
      <c r="H194" s="165"/>
      <c r="I194" s="235" t="e">
        <f t="shared" si="58"/>
        <v>#DIV/0!</v>
      </c>
    </row>
    <row r="195" spans="5:9" ht="15" hidden="1" x14ac:dyDescent="0.2">
      <c r="E195" s="132" t="s">
        <v>118</v>
      </c>
      <c r="F195" s="165">
        <f t="shared" si="56"/>
        <v>0</v>
      </c>
      <c r="G195" s="165">
        <f t="shared" si="57"/>
        <v>0</v>
      </c>
      <c r="H195" s="165"/>
      <c r="I195" s="235" t="e">
        <f t="shared" si="58"/>
        <v>#DIV/0!</v>
      </c>
    </row>
    <row r="196" spans="5:9" ht="15" hidden="1" x14ac:dyDescent="0.2">
      <c r="E196" s="132" t="s">
        <v>92</v>
      </c>
      <c r="F196" s="165">
        <f t="shared" si="56"/>
        <v>0</v>
      </c>
      <c r="G196" s="165">
        <f t="shared" si="57"/>
        <v>0</v>
      </c>
      <c r="H196" s="165"/>
      <c r="I196" s="235" t="e">
        <f t="shared" si="58"/>
        <v>#DIV/0!</v>
      </c>
    </row>
    <row r="197" spans="5:9" ht="15" x14ac:dyDescent="0.2">
      <c r="E197" s="132" t="s">
        <v>80</v>
      </c>
      <c r="F197" s="165">
        <f t="shared" si="56"/>
        <v>6241634743</v>
      </c>
      <c r="G197" s="165">
        <f t="shared" si="57"/>
        <v>2</v>
      </c>
      <c r="H197" s="165"/>
      <c r="I197" s="235"/>
    </row>
    <row r="198" spans="5:9" ht="15" x14ac:dyDescent="0.2">
      <c r="E198" s="132" t="s">
        <v>210</v>
      </c>
      <c r="F198" s="165">
        <f t="shared" si="56"/>
        <v>1332256035.4938269</v>
      </c>
      <c r="G198" s="165">
        <f t="shared" si="57"/>
        <v>2</v>
      </c>
      <c r="H198" s="165"/>
      <c r="I198" s="235"/>
    </row>
    <row r="199" spans="5:9" ht="15" x14ac:dyDescent="0.2">
      <c r="E199" s="132" t="s">
        <v>529</v>
      </c>
      <c r="F199" s="165">
        <f t="shared" si="56"/>
        <v>0</v>
      </c>
      <c r="G199" s="165">
        <f t="shared" si="57"/>
        <v>0</v>
      </c>
      <c r="H199" s="165"/>
      <c r="I199" s="235"/>
    </row>
    <row r="200" spans="5:9" ht="15" x14ac:dyDescent="0.2">
      <c r="E200" s="132" t="s">
        <v>42</v>
      </c>
      <c r="F200" s="165">
        <f t="shared" si="56"/>
        <v>810084258.44074082</v>
      </c>
      <c r="G200" s="165">
        <f t="shared" si="57"/>
        <v>7</v>
      </c>
      <c r="H200" s="165"/>
      <c r="I200" s="235" t="e">
        <f t="shared" ref="I200:I205" si="59">+F200/H200</f>
        <v>#DIV/0!</v>
      </c>
    </row>
    <row r="201" spans="5:9" ht="15" x14ac:dyDescent="0.2">
      <c r="E201" s="132" t="s">
        <v>226</v>
      </c>
      <c r="F201" s="165">
        <f t="shared" si="56"/>
        <v>447670000</v>
      </c>
      <c r="G201" s="165">
        <f t="shared" si="57"/>
        <v>2</v>
      </c>
      <c r="H201" s="165"/>
      <c r="I201" s="235" t="e">
        <f t="shared" si="59"/>
        <v>#DIV/0!</v>
      </c>
    </row>
    <row r="202" spans="5:9" ht="15" x14ac:dyDescent="0.2">
      <c r="E202" s="132" t="s">
        <v>140</v>
      </c>
      <c r="F202" s="165">
        <f t="shared" si="56"/>
        <v>377481481.37037033</v>
      </c>
      <c r="G202" s="165">
        <f t="shared" si="57"/>
        <v>3</v>
      </c>
      <c r="H202" s="165"/>
      <c r="I202" s="235" t="e">
        <f t="shared" si="59"/>
        <v>#DIV/0!</v>
      </c>
    </row>
    <row r="203" spans="5:9" ht="15" x14ac:dyDescent="0.2">
      <c r="E203" s="132" t="s">
        <v>531</v>
      </c>
      <c r="F203" s="165">
        <f t="shared" si="56"/>
        <v>0</v>
      </c>
      <c r="G203" s="165">
        <f t="shared" si="57"/>
        <v>0</v>
      </c>
      <c r="H203" s="165"/>
      <c r="I203" s="235" t="e">
        <f t="shared" si="59"/>
        <v>#DIV/0!</v>
      </c>
    </row>
    <row r="204" spans="5:9" ht="15" x14ac:dyDescent="0.2">
      <c r="E204" s="132" t="s">
        <v>170</v>
      </c>
      <c r="F204" s="165">
        <f t="shared" si="56"/>
        <v>24148148</v>
      </c>
      <c r="G204" s="165">
        <f t="shared" si="57"/>
        <v>1</v>
      </c>
      <c r="H204" s="165"/>
      <c r="I204" s="235" t="e">
        <f t="shared" si="59"/>
        <v>#DIV/0!</v>
      </c>
    </row>
    <row r="205" spans="5:9" ht="15" x14ac:dyDescent="0.2">
      <c r="E205" s="132" t="s">
        <v>63</v>
      </c>
      <c r="F205" s="165">
        <f t="shared" si="56"/>
        <v>539031250</v>
      </c>
      <c r="G205" s="165">
        <f t="shared" si="57"/>
        <v>3</v>
      </c>
      <c r="H205" s="165"/>
      <c r="I205" s="235" t="e">
        <f t="shared" si="59"/>
        <v>#DIV/0!</v>
      </c>
    </row>
    <row r="206" spans="5:9" ht="15" x14ac:dyDescent="0.2">
      <c r="E206" s="132" t="s">
        <v>312</v>
      </c>
      <c r="F206" s="165">
        <f t="shared" si="56"/>
        <v>4662324855</v>
      </c>
      <c r="G206" s="165">
        <f t="shared" si="57"/>
        <v>3</v>
      </c>
      <c r="H206" s="165"/>
      <c r="I206" s="235"/>
    </row>
    <row r="207" spans="5:9" ht="15" x14ac:dyDescent="0.2">
      <c r="E207" s="132" t="s">
        <v>71</v>
      </c>
      <c r="F207" s="165">
        <f t="shared" si="56"/>
        <v>147941778.69999999</v>
      </c>
      <c r="G207" s="165">
        <f t="shared" si="57"/>
        <v>4</v>
      </c>
      <c r="H207" s="165"/>
      <c r="I207" s="235" t="e">
        <f>+F207/H207</f>
        <v>#DIV/0!</v>
      </c>
    </row>
    <row r="208" spans="5:9" ht="15" x14ac:dyDescent="0.2">
      <c r="E208" s="132" t="s">
        <v>153</v>
      </c>
      <c r="F208" s="165">
        <f t="shared" si="56"/>
        <v>62801758.333333328</v>
      </c>
      <c r="G208" s="165">
        <f t="shared" si="57"/>
        <v>1</v>
      </c>
      <c r="H208" s="165"/>
      <c r="I208" s="235" t="e">
        <f>+F208/H208</f>
        <v>#DIV/0!</v>
      </c>
    </row>
    <row r="209" spans="5:9" ht="15" x14ac:dyDescent="0.2">
      <c r="E209" s="132" t="s">
        <v>113</v>
      </c>
      <c r="F209" s="165">
        <f t="shared" si="56"/>
        <v>1253960648.2222223</v>
      </c>
      <c r="G209" s="165">
        <f t="shared" si="57"/>
        <v>3</v>
      </c>
      <c r="H209" s="165"/>
      <c r="I209" s="235"/>
    </row>
    <row r="210" spans="5:9" ht="15" x14ac:dyDescent="0.2">
      <c r="E210" s="132" t="s">
        <v>467</v>
      </c>
      <c r="F210" s="165">
        <f t="shared" si="56"/>
        <v>0</v>
      </c>
      <c r="G210" s="165">
        <f t="shared" si="57"/>
        <v>145</v>
      </c>
      <c r="H210" s="165"/>
      <c r="I210" s="235" t="e">
        <f>+F210/H210</f>
        <v>#DIV/0!</v>
      </c>
    </row>
    <row r="211" spans="5:9" ht="15" x14ac:dyDescent="0.2">
      <c r="E211" s="132" t="s">
        <v>83</v>
      </c>
      <c r="F211" s="165">
        <f t="shared" si="56"/>
        <v>687777782.81481481</v>
      </c>
      <c r="G211" s="165">
        <f t="shared" si="57"/>
        <v>8</v>
      </c>
      <c r="H211" s="165"/>
      <c r="I211" s="235" t="e">
        <f>+F211/H211</f>
        <v>#DIV/0!</v>
      </c>
    </row>
    <row r="212" spans="5:9" ht="15" x14ac:dyDescent="0.2">
      <c r="E212" s="132" t="s">
        <v>59</v>
      </c>
      <c r="F212" s="165">
        <f t="shared" si="56"/>
        <v>14807407</v>
      </c>
      <c r="G212" s="165">
        <f t="shared" si="57"/>
        <v>2</v>
      </c>
      <c r="H212" s="165"/>
      <c r="I212" s="235" t="e">
        <f>+F212/H212</f>
        <v>#DIV/0!</v>
      </c>
    </row>
    <row r="213" spans="5:9" ht="15" x14ac:dyDescent="0.2">
      <c r="E213" s="132" t="s">
        <v>257</v>
      </c>
      <c r="F213" s="165">
        <f t="shared" si="56"/>
        <v>6481481.5999999996</v>
      </c>
      <c r="G213" s="165">
        <f t="shared" si="57"/>
        <v>2</v>
      </c>
      <c r="H213" s="165"/>
      <c r="I213" s="235"/>
    </row>
    <row r="214" spans="5:9" ht="15" x14ac:dyDescent="0.2">
      <c r="E214" s="132" t="s">
        <v>236</v>
      </c>
      <c r="F214" s="165">
        <f t="shared" si="56"/>
        <v>0</v>
      </c>
      <c r="G214" s="165">
        <f t="shared" si="57"/>
        <v>0</v>
      </c>
      <c r="H214" s="165"/>
      <c r="I214" s="235"/>
    </row>
    <row r="215" spans="5:9" ht="15" x14ac:dyDescent="0.2">
      <c r="E215" s="130" t="s">
        <v>447</v>
      </c>
      <c r="F215" s="236">
        <f>SUM(F190:F214)</f>
        <v>16608401627.975309</v>
      </c>
      <c r="G215" s="236">
        <f>SUM(G190:G214)</f>
        <v>188</v>
      </c>
      <c r="H215" s="165"/>
      <c r="I215" s="235"/>
    </row>
    <row r="216" spans="5:9" x14ac:dyDescent="0.2">
      <c r="E216" s="237" t="s">
        <v>537</v>
      </c>
    </row>
    <row r="218" spans="5:9" ht="15" x14ac:dyDescent="0.2">
      <c r="E218" s="234" t="s">
        <v>545</v>
      </c>
      <c r="F218" s="234" t="s">
        <v>499</v>
      </c>
      <c r="G218" s="234" t="s">
        <v>396</v>
      </c>
    </row>
    <row r="219" spans="5:9" ht="15" x14ac:dyDescent="0.2">
      <c r="E219" s="132" t="s">
        <v>80</v>
      </c>
      <c r="F219" s="165">
        <f t="shared" ref="F219:F243" si="60">VLOOKUP(E219,$E$105:$O$136,10,FALSE)</f>
        <v>16015444856.111111</v>
      </c>
      <c r="G219" s="165">
        <f t="shared" ref="G219:G243" si="61">VLOOKUP(E219,$E$105:$O$136,11,FALSE)</f>
        <v>10</v>
      </c>
    </row>
    <row r="220" spans="5:9" ht="15" x14ac:dyDescent="0.2">
      <c r="E220" s="132" t="s">
        <v>210</v>
      </c>
      <c r="F220" s="165">
        <f t="shared" si="60"/>
        <v>8185202318.8271599</v>
      </c>
      <c r="G220" s="165">
        <f t="shared" si="61"/>
        <v>4</v>
      </c>
    </row>
    <row r="221" spans="5:9" ht="15" x14ac:dyDescent="0.2">
      <c r="E221" s="132" t="s">
        <v>153</v>
      </c>
      <c r="F221" s="165">
        <f t="shared" si="60"/>
        <v>3445736733.3333335</v>
      </c>
      <c r="G221" s="165">
        <f t="shared" si="61"/>
        <v>13</v>
      </c>
    </row>
    <row r="222" spans="5:9" ht="15" x14ac:dyDescent="0.2">
      <c r="E222" s="132" t="s">
        <v>42</v>
      </c>
      <c r="F222" s="165">
        <f t="shared" si="60"/>
        <v>2134473146.9592593</v>
      </c>
      <c r="G222" s="165">
        <f t="shared" si="61"/>
        <v>15</v>
      </c>
    </row>
    <row r="223" spans="5:9" ht="15" x14ac:dyDescent="0.2">
      <c r="E223" s="132" t="s">
        <v>105</v>
      </c>
      <c r="F223" s="165">
        <f t="shared" si="60"/>
        <v>1557586590.4074073</v>
      </c>
      <c r="G223" s="165">
        <f t="shared" si="61"/>
        <v>6</v>
      </c>
    </row>
    <row r="224" spans="5:9" ht="15" x14ac:dyDescent="0.2">
      <c r="E224" s="132" t="s">
        <v>59</v>
      </c>
      <c r="F224" s="165">
        <f t="shared" si="60"/>
        <v>1434529629.6296294</v>
      </c>
      <c r="G224" s="165">
        <f t="shared" si="61"/>
        <v>4</v>
      </c>
    </row>
    <row r="225" spans="5:7" ht="15" x14ac:dyDescent="0.2">
      <c r="E225" s="132" t="s">
        <v>170</v>
      </c>
      <c r="F225" s="165">
        <f t="shared" si="60"/>
        <v>576746973</v>
      </c>
      <c r="G225" s="165">
        <f t="shared" si="61"/>
        <v>4</v>
      </c>
    </row>
    <row r="226" spans="5:7" ht="15" x14ac:dyDescent="0.2">
      <c r="E226" s="132" t="s">
        <v>529</v>
      </c>
      <c r="F226" s="165">
        <f t="shared" si="60"/>
        <v>0</v>
      </c>
      <c r="G226" s="165">
        <f t="shared" si="61"/>
        <v>0</v>
      </c>
    </row>
    <row r="227" spans="5:7" ht="15" x14ac:dyDescent="0.2">
      <c r="E227" s="132" t="s">
        <v>87</v>
      </c>
      <c r="F227" s="165">
        <f t="shared" si="60"/>
        <v>612591889</v>
      </c>
      <c r="G227" s="165">
        <f t="shared" si="61"/>
        <v>2</v>
      </c>
    </row>
    <row r="228" spans="5:7" ht="15" x14ac:dyDescent="0.2">
      <c r="E228" s="132" t="s">
        <v>140</v>
      </c>
      <c r="F228" s="165">
        <f t="shared" si="60"/>
        <v>533617707.37037033</v>
      </c>
      <c r="G228" s="165">
        <f t="shared" si="61"/>
        <v>7</v>
      </c>
    </row>
    <row r="229" spans="5:7" ht="15" x14ac:dyDescent="0.2">
      <c r="E229" s="132" t="s">
        <v>71</v>
      </c>
      <c r="F229" s="165">
        <f t="shared" si="60"/>
        <v>586277862.70000005</v>
      </c>
      <c r="G229" s="165">
        <f t="shared" si="61"/>
        <v>12</v>
      </c>
    </row>
    <row r="230" spans="5:7" ht="15" x14ac:dyDescent="0.2">
      <c r="E230" s="132" t="s">
        <v>83</v>
      </c>
      <c r="F230" s="165">
        <f t="shared" si="60"/>
        <v>1162767716.8148148</v>
      </c>
      <c r="G230" s="165">
        <f t="shared" si="61"/>
        <v>12</v>
      </c>
    </row>
    <row r="231" spans="5:7" ht="15" x14ac:dyDescent="0.2">
      <c r="E231" s="132" t="s">
        <v>226</v>
      </c>
      <c r="F231" s="165">
        <f t="shared" si="60"/>
        <v>456670000</v>
      </c>
      <c r="G231" s="165">
        <f t="shared" si="61"/>
        <v>3</v>
      </c>
    </row>
    <row r="232" spans="5:7" ht="15" x14ac:dyDescent="0.2">
      <c r="E232" s="132" t="s">
        <v>531</v>
      </c>
      <c r="F232" s="165">
        <f t="shared" si="60"/>
        <v>0</v>
      </c>
      <c r="G232" s="165">
        <f t="shared" si="61"/>
        <v>0</v>
      </c>
    </row>
    <row r="233" spans="5:7" ht="15" x14ac:dyDescent="0.2">
      <c r="E233" s="132" t="s">
        <v>63</v>
      </c>
      <c r="F233" s="165">
        <f t="shared" si="60"/>
        <v>786046963.88888884</v>
      </c>
      <c r="G233" s="165">
        <f t="shared" si="61"/>
        <v>6</v>
      </c>
    </row>
    <row r="234" spans="5:7" ht="15" x14ac:dyDescent="0.2">
      <c r="E234" s="132" t="s">
        <v>33</v>
      </c>
      <c r="F234" s="165">
        <f t="shared" si="60"/>
        <v>410266174</v>
      </c>
      <c r="G234" s="165">
        <f t="shared" si="61"/>
        <v>2</v>
      </c>
    </row>
    <row r="235" spans="5:7" ht="15" x14ac:dyDescent="0.2">
      <c r="E235" s="132" t="s">
        <v>55</v>
      </c>
      <c r="F235" s="165">
        <f t="shared" si="60"/>
        <v>177966708.33333334</v>
      </c>
      <c r="G235" s="165">
        <f t="shared" si="61"/>
        <v>2</v>
      </c>
    </row>
    <row r="236" spans="5:7" ht="15" x14ac:dyDescent="0.2">
      <c r="E236" s="132" t="s">
        <v>312</v>
      </c>
      <c r="F236" s="165">
        <f t="shared" si="60"/>
        <v>4662324855</v>
      </c>
      <c r="G236" s="165">
        <f t="shared" si="61"/>
        <v>3</v>
      </c>
    </row>
    <row r="237" spans="5:7" ht="15" x14ac:dyDescent="0.2">
      <c r="E237" s="132" t="s">
        <v>113</v>
      </c>
      <c r="F237" s="165">
        <f t="shared" si="60"/>
        <v>1295673611.1851852</v>
      </c>
      <c r="G237" s="165">
        <f t="shared" si="61"/>
        <v>6</v>
      </c>
    </row>
    <row r="238" spans="5:7" ht="15" x14ac:dyDescent="0.2">
      <c r="E238" s="132" t="s">
        <v>467</v>
      </c>
      <c r="F238" s="165">
        <f t="shared" si="60"/>
        <v>0</v>
      </c>
      <c r="G238" s="165">
        <f t="shared" si="61"/>
        <v>478</v>
      </c>
    </row>
    <row r="239" spans="5:7" ht="15" x14ac:dyDescent="0.2">
      <c r="E239" s="132" t="s">
        <v>118</v>
      </c>
      <c r="F239" s="165">
        <f t="shared" si="60"/>
        <v>62330365.740740731</v>
      </c>
      <c r="G239" s="165">
        <f t="shared" si="61"/>
        <v>654</v>
      </c>
    </row>
    <row r="240" spans="5:7" ht="15" x14ac:dyDescent="0.2">
      <c r="E240" s="132" t="s">
        <v>92</v>
      </c>
      <c r="F240" s="165">
        <f t="shared" si="60"/>
        <v>44979629.629629627</v>
      </c>
      <c r="G240" s="165">
        <f t="shared" si="61"/>
        <v>2</v>
      </c>
    </row>
    <row r="241" spans="5:7" ht="15" x14ac:dyDescent="0.2">
      <c r="E241" s="132" t="s">
        <v>236</v>
      </c>
      <c r="F241" s="165">
        <f t="shared" si="60"/>
        <v>23425926</v>
      </c>
      <c r="G241" s="165">
        <f t="shared" si="61"/>
        <v>1</v>
      </c>
    </row>
    <row r="242" spans="5:7" ht="15" x14ac:dyDescent="0.2">
      <c r="E242" s="132" t="s">
        <v>257</v>
      </c>
      <c r="F242" s="165">
        <f t="shared" si="60"/>
        <v>6481481.5999999996</v>
      </c>
      <c r="G242" s="165">
        <f t="shared" si="61"/>
        <v>2</v>
      </c>
    </row>
    <row r="243" spans="5:7" ht="15" x14ac:dyDescent="0.2">
      <c r="E243" s="132" t="s">
        <v>126</v>
      </c>
      <c r="F243" s="165">
        <f t="shared" si="60"/>
        <v>3666666.6666666665</v>
      </c>
      <c r="G243" s="165">
        <f t="shared" si="61"/>
        <v>1</v>
      </c>
    </row>
    <row r="244" spans="5:7" ht="15" x14ac:dyDescent="0.2">
      <c r="E244" s="130" t="s">
        <v>447</v>
      </c>
      <c r="F244" s="236">
        <f>SUM(F219:F243)</f>
        <v>44174807806.197517</v>
      </c>
      <c r="G244" s="236">
        <f>SUM(G219:G243)</f>
        <v>1249</v>
      </c>
    </row>
  </sheetData>
  <sheetProtection sheet="1" objects="1" scenarios="1"/>
  <autoFilter ref="E144:G144" xr:uid="{5EE8F8F2-D8BC-430D-B33A-1391E3671E6D}"/>
  <sortState xmlns:xlrd2="http://schemas.microsoft.com/office/spreadsheetml/2017/richdata2" ref="E219:G244">
    <sortCondition descending="1" ref="F219:F244"/>
  </sortState>
  <mergeCells count="4">
    <mergeCell ref="D31:E31"/>
    <mergeCell ref="D64:E64"/>
    <mergeCell ref="D101:E101"/>
    <mergeCell ref="D137:E137"/>
  </mergeCells>
  <dataValidations count="3">
    <dataValidation type="list" allowBlank="1" showInputMessage="1" showErrorMessage="1" sqref="A3 A35" xr:uid="{A18CD4E3-8432-4030-B7CC-772B86B229BD}">
      <formula1>"1,2,3,4,5,6,7,8,9,10,11,12"</formula1>
    </dataValidation>
    <dataValidation type="list" allowBlank="1" showInputMessage="1" showErrorMessage="1" sqref="B3" xr:uid="{E72EAD2E-3B3A-4211-BAF8-01B3CB54F6EB}">
      <formula1>"W1,W2,W3,W4,W5"</formula1>
    </dataValidation>
    <dataValidation type="list" allowBlank="1" showInputMessage="1" showErrorMessage="1" sqref="A69" xr:uid="{1BD7060A-1770-4A7F-8F7A-978B108D5B70}">
      <formula1>"Quý I, Quý II, Quý III,Quý IV"</formula1>
    </dataValidation>
  </dataValidation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K84"/>
  <sheetViews>
    <sheetView zoomScale="85" zoomScaleNormal="85" workbookViewId="0">
      <selection activeCell="C13" sqref="C13"/>
    </sheetView>
  </sheetViews>
  <sheetFormatPr defaultColWidth="9.125" defaultRowHeight="14.25" x14ac:dyDescent="0.2"/>
  <cols>
    <col min="1" max="1" width="30.125" style="2" customWidth="1"/>
    <col min="2" max="2" width="17.375" style="2" bestFit="1" customWidth="1"/>
    <col min="3" max="3" width="18.75" style="2" bestFit="1" customWidth="1"/>
    <col min="4" max="4" width="18.75" style="2" customWidth="1"/>
    <col min="5" max="5" width="13.875" style="2" bestFit="1" customWidth="1"/>
    <col min="6" max="6" width="13.125" style="2" customWidth="1"/>
    <col min="7" max="7" width="9.125" style="2"/>
    <col min="8" max="8" width="13.125" style="2" customWidth="1"/>
    <col min="9" max="9" width="9.125" style="2"/>
    <col min="10" max="10" width="23.125" style="2" customWidth="1"/>
    <col min="11" max="11" width="24" style="2" customWidth="1"/>
    <col min="12" max="16384" width="9.125" style="2"/>
  </cols>
  <sheetData>
    <row r="1" spans="1:11" ht="15" x14ac:dyDescent="0.25">
      <c r="A1" s="1" t="s">
        <v>15</v>
      </c>
      <c r="B1" s="1" t="s">
        <v>547</v>
      </c>
      <c r="C1" s="56" t="s">
        <v>548</v>
      </c>
      <c r="D1" s="1"/>
      <c r="F1" s="1" t="s">
        <v>549</v>
      </c>
      <c r="G1" s="1" t="s">
        <v>550</v>
      </c>
      <c r="H1" s="1" t="s">
        <v>551</v>
      </c>
    </row>
    <row r="2" spans="1:11" ht="15" x14ac:dyDescent="0.25">
      <c r="A2" s="3" t="s">
        <v>552</v>
      </c>
      <c r="B2" s="47" t="s">
        <v>553</v>
      </c>
      <c r="C2" s="57" t="s">
        <v>554</v>
      </c>
      <c r="D2" s="47"/>
      <c r="E2" s="2" t="s">
        <v>45</v>
      </c>
      <c r="F2" s="52" t="s">
        <v>555</v>
      </c>
      <c r="G2" s="52">
        <v>27</v>
      </c>
      <c r="H2" s="53" t="s">
        <v>556</v>
      </c>
      <c r="J2" s="2" t="s">
        <v>557</v>
      </c>
      <c r="K2" s="2" t="s">
        <v>170</v>
      </c>
    </row>
    <row r="3" spans="1:11" ht="15" x14ac:dyDescent="0.25">
      <c r="A3" s="3" t="s">
        <v>345</v>
      </c>
      <c r="B3" s="47" t="s">
        <v>402</v>
      </c>
      <c r="C3" s="57" t="s">
        <v>554</v>
      </c>
      <c r="D3" s="47"/>
      <c r="F3" s="52"/>
      <c r="G3" s="52">
        <v>34</v>
      </c>
      <c r="H3" s="53" t="s">
        <v>558</v>
      </c>
      <c r="J3" s="2" t="s">
        <v>559</v>
      </c>
      <c r="K3" s="2" t="s">
        <v>345</v>
      </c>
    </row>
    <row r="4" spans="1:11" ht="15" x14ac:dyDescent="0.25">
      <c r="A4" s="3" t="s">
        <v>71</v>
      </c>
      <c r="B4" s="47" t="s">
        <v>402</v>
      </c>
      <c r="C4" s="57" t="s">
        <v>554</v>
      </c>
      <c r="D4" s="47"/>
      <c r="E4" s="2" t="s">
        <v>45</v>
      </c>
      <c r="F4" s="52" t="s">
        <v>560</v>
      </c>
      <c r="G4" s="52">
        <v>86</v>
      </c>
      <c r="H4" s="53" t="s">
        <v>561</v>
      </c>
      <c r="J4" s="2" t="s">
        <v>562</v>
      </c>
      <c r="K4" s="2" t="s">
        <v>87</v>
      </c>
    </row>
    <row r="5" spans="1:11" ht="15" x14ac:dyDescent="0.25">
      <c r="A5" s="3" t="s">
        <v>113</v>
      </c>
      <c r="B5" s="47" t="s">
        <v>402</v>
      </c>
      <c r="C5" s="57" t="s">
        <v>554</v>
      </c>
      <c r="D5" s="47"/>
      <c r="E5" s="2" t="s">
        <v>45</v>
      </c>
      <c r="F5" s="52" t="s">
        <v>555</v>
      </c>
      <c r="G5" s="52">
        <v>88</v>
      </c>
      <c r="H5" s="53" t="s">
        <v>563</v>
      </c>
      <c r="J5" s="2" t="s">
        <v>564</v>
      </c>
      <c r="K5" s="2" t="s">
        <v>445</v>
      </c>
    </row>
    <row r="6" spans="1:11" ht="15" x14ac:dyDescent="0.25">
      <c r="A6" s="3" t="s">
        <v>87</v>
      </c>
      <c r="B6" s="47" t="s">
        <v>402</v>
      </c>
      <c r="C6" s="57" t="s">
        <v>554</v>
      </c>
      <c r="D6" s="47"/>
      <c r="E6" s="2" t="s">
        <v>45</v>
      </c>
      <c r="F6" s="52" t="s">
        <v>560</v>
      </c>
      <c r="G6" s="52">
        <v>81</v>
      </c>
      <c r="H6" s="53" t="s">
        <v>565</v>
      </c>
      <c r="J6" s="2" t="s">
        <v>566</v>
      </c>
      <c r="K6" s="2" t="s">
        <v>113</v>
      </c>
    </row>
    <row r="7" spans="1:11" ht="15" x14ac:dyDescent="0.25">
      <c r="A7" s="3" t="s">
        <v>42</v>
      </c>
      <c r="B7" s="47" t="s">
        <v>402</v>
      </c>
      <c r="C7" s="57" t="s">
        <v>554</v>
      </c>
      <c r="D7" s="47"/>
      <c r="E7" s="2" t="s">
        <v>45</v>
      </c>
      <c r="F7" s="52" t="s">
        <v>555</v>
      </c>
      <c r="G7" s="52">
        <v>11</v>
      </c>
      <c r="H7" s="53" t="s">
        <v>567</v>
      </c>
      <c r="J7" s="2" t="s">
        <v>568</v>
      </c>
      <c r="K7" s="2" t="s">
        <v>153</v>
      </c>
    </row>
    <row r="8" spans="1:11" ht="15" x14ac:dyDescent="0.25">
      <c r="A8" s="3" t="s">
        <v>105</v>
      </c>
      <c r="B8" s="47" t="s">
        <v>402</v>
      </c>
      <c r="C8" s="57" t="s">
        <v>554</v>
      </c>
      <c r="D8" s="58"/>
      <c r="F8" s="52"/>
      <c r="G8" s="52">
        <v>99</v>
      </c>
      <c r="H8" s="53" t="s">
        <v>88</v>
      </c>
      <c r="J8" s="2" t="s">
        <v>569</v>
      </c>
      <c r="K8" s="2" t="s">
        <v>570</v>
      </c>
    </row>
    <row r="9" spans="1:11" ht="15" x14ac:dyDescent="0.25">
      <c r="A9" s="3" t="s">
        <v>508</v>
      </c>
      <c r="B9" s="47" t="s">
        <v>402</v>
      </c>
      <c r="C9" s="57"/>
      <c r="D9" s="58"/>
      <c r="F9" s="52"/>
      <c r="G9" s="52"/>
      <c r="H9" s="53"/>
    </row>
    <row r="10" spans="1:11" ht="15" x14ac:dyDescent="0.25">
      <c r="A10" s="3" t="s">
        <v>83</v>
      </c>
      <c r="B10" s="47" t="s">
        <v>402</v>
      </c>
      <c r="C10" s="57" t="s">
        <v>554</v>
      </c>
      <c r="D10" s="58"/>
      <c r="F10" s="52"/>
      <c r="G10" s="52"/>
      <c r="H10" s="53"/>
    </row>
    <row r="11" spans="1:11" ht="15" x14ac:dyDescent="0.25">
      <c r="A11" s="3" t="s">
        <v>140</v>
      </c>
      <c r="B11" s="47" t="s">
        <v>402</v>
      </c>
      <c r="C11" s="57" t="s">
        <v>554</v>
      </c>
      <c r="D11" s="47"/>
      <c r="E11" s="2" t="s">
        <v>45</v>
      </c>
      <c r="F11" s="52" t="s">
        <v>555</v>
      </c>
      <c r="G11" s="52">
        <v>17</v>
      </c>
      <c r="H11" s="53" t="s">
        <v>571</v>
      </c>
      <c r="J11" s="2" t="s">
        <v>572</v>
      </c>
      <c r="K11" s="2" t="s">
        <v>63</v>
      </c>
    </row>
    <row r="12" spans="1:11" ht="15" x14ac:dyDescent="0.25">
      <c r="A12" s="2" t="s">
        <v>349</v>
      </c>
      <c r="B12" s="47" t="s">
        <v>402</v>
      </c>
      <c r="C12" s="57" t="s">
        <v>554</v>
      </c>
      <c r="D12" s="47"/>
      <c r="F12" s="52"/>
      <c r="G12" s="52"/>
      <c r="H12" s="53"/>
    </row>
    <row r="13" spans="1:11" ht="15" x14ac:dyDescent="0.25">
      <c r="A13" s="2" t="s">
        <v>352</v>
      </c>
      <c r="B13" s="47" t="s">
        <v>402</v>
      </c>
      <c r="C13" s="57" t="s">
        <v>554</v>
      </c>
      <c r="D13" s="47"/>
      <c r="F13" s="52"/>
      <c r="G13" s="52">
        <v>52</v>
      </c>
      <c r="H13" s="53" t="s">
        <v>573</v>
      </c>
      <c r="J13" s="2" t="s">
        <v>574</v>
      </c>
      <c r="K13" s="2" t="s">
        <v>575</v>
      </c>
    </row>
    <row r="14" spans="1:11" ht="15" x14ac:dyDescent="0.25">
      <c r="A14" s="2" t="s">
        <v>312</v>
      </c>
      <c r="B14" s="47" t="s">
        <v>403</v>
      </c>
      <c r="C14" s="57" t="s">
        <v>554</v>
      </c>
      <c r="D14" s="47"/>
      <c r="F14" s="52"/>
      <c r="G14" s="52">
        <v>35</v>
      </c>
      <c r="H14" s="53" t="s">
        <v>576</v>
      </c>
    </row>
    <row r="15" spans="1:11" ht="15" x14ac:dyDescent="0.25">
      <c r="A15" s="55" t="s">
        <v>445</v>
      </c>
      <c r="B15" s="47" t="s">
        <v>403</v>
      </c>
      <c r="C15" s="57" t="s">
        <v>554</v>
      </c>
      <c r="D15" s="47"/>
      <c r="E15" s="2" t="s">
        <v>45</v>
      </c>
      <c r="F15" s="52" t="s">
        <v>555</v>
      </c>
      <c r="G15" s="52">
        <v>15</v>
      </c>
      <c r="H15" s="53" t="s">
        <v>75</v>
      </c>
    </row>
    <row r="16" spans="1:11" ht="15" x14ac:dyDescent="0.25">
      <c r="A16" s="3" t="s">
        <v>153</v>
      </c>
      <c r="B16" s="47" t="s">
        <v>403</v>
      </c>
      <c r="C16" s="57" t="s">
        <v>554</v>
      </c>
      <c r="D16" s="47"/>
      <c r="F16" s="52"/>
      <c r="G16" s="52"/>
      <c r="H16" s="53"/>
    </row>
    <row r="17" spans="1:11" ht="15" x14ac:dyDescent="0.25">
      <c r="A17" s="3" t="s">
        <v>55</v>
      </c>
      <c r="B17" s="47" t="s">
        <v>403</v>
      </c>
      <c r="C17" s="57" t="s">
        <v>554</v>
      </c>
      <c r="D17" s="47"/>
      <c r="F17" s="52" t="s">
        <v>577</v>
      </c>
      <c r="G17" s="52">
        <v>72</v>
      </c>
      <c r="H17" s="53" t="s">
        <v>578</v>
      </c>
    </row>
    <row r="18" spans="1:11" ht="15" x14ac:dyDescent="0.25">
      <c r="A18" s="3" t="s">
        <v>446</v>
      </c>
      <c r="B18" s="47" t="s">
        <v>403</v>
      </c>
      <c r="C18" s="57" t="s">
        <v>554</v>
      </c>
      <c r="D18" s="47"/>
      <c r="F18" s="52"/>
      <c r="G18" s="52"/>
      <c r="H18" s="53"/>
    </row>
    <row r="19" spans="1:11" ht="15" x14ac:dyDescent="0.25">
      <c r="A19" s="3" t="s">
        <v>236</v>
      </c>
      <c r="B19" s="47" t="s">
        <v>403</v>
      </c>
      <c r="C19" s="57" t="s">
        <v>554</v>
      </c>
      <c r="D19" s="47"/>
      <c r="F19" s="52"/>
      <c r="G19" s="52">
        <v>51</v>
      </c>
      <c r="H19" s="53" t="s">
        <v>579</v>
      </c>
    </row>
    <row r="20" spans="1:11" ht="15" x14ac:dyDescent="0.25">
      <c r="A20" s="3" t="s">
        <v>130</v>
      </c>
      <c r="B20" s="47" t="s">
        <v>405</v>
      </c>
      <c r="C20" s="57" t="s">
        <v>554</v>
      </c>
      <c r="D20" s="47"/>
      <c r="F20" s="52"/>
      <c r="G20" s="52"/>
      <c r="H20" s="53"/>
    </row>
    <row r="21" spans="1:11" ht="15" x14ac:dyDescent="0.25">
      <c r="A21" s="3" t="s">
        <v>210</v>
      </c>
      <c r="B21" s="47" t="s">
        <v>405</v>
      </c>
      <c r="C21" s="57" t="s">
        <v>554</v>
      </c>
      <c r="D21" s="47"/>
      <c r="E21" s="2" t="s">
        <v>45</v>
      </c>
      <c r="F21" s="52" t="s">
        <v>555</v>
      </c>
      <c r="G21" s="52">
        <v>26</v>
      </c>
      <c r="H21" s="53" t="s">
        <v>580</v>
      </c>
      <c r="J21" s="2" t="s">
        <v>581</v>
      </c>
      <c r="K21" s="2" t="s">
        <v>33</v>
      </c>
    </row>
    <row r="22" spans="1:11" ht="15" x14ac:dyDescent="0.25">
      <c r="A22" s="3" t="s">
        <v>59</v>
      </c>
      <c r="B22" s="47" t="s">
        <v>405</v>
      </c>
      <c r="C22" s="57"/>
      <c r="D22" s="47"/>
      <c r="E22" s="2" t="s">
        <v>45</v>
      </c>
      <c r="F22" s="52" t="s">
        <v>560</v>
      </c>
      <c r="G22" s="52">
        <v>48</v>
      </c>
      <c r="H22" s="53" t="s">
        <v>582</v>
      </c>
      <c r="J22" s="2" t="s">
        <v>583</v>
      </c>
      <c r="K22" s="2" t="s">
        <v>80</v>
      </c>
    </row>
    <row r="23" spans="1:11" ht="15" x14ac:dyDescent="0.25">
      <c r="A23" s="3" t="s">
        <v>92</v>
      </c>
      <c r="B23" s="47" t="s">
        <v>405</v>
      </c>
      <c r="C23" s="57"/>
      <c r="D23" s="47"/>
      <c r="F23" s="52"/>
      <c r="G23" s="52"/>
      <c r="H23" s="53"/>
      <c r="J23" s="2" t="s">
        <v>584</v>
      </c>
      <c r="K23" s="2" t="s">
        <v>71</v>
      </c>
    </row>
    <row r="24" spans="1:11" ht="15" x14ac:dyDescent="0.25">
      <c r="A24" s="3" t="s">
        <v>63</v>
      </c>
      <c r="B24" s="47" t="s">
        <v>405</v>
      </c>
      <c r="C24" s="57" t="s">
        <v>554</v>
      </c>
      <c r="D24" s="47"/>
      <c r="F24" s="52"/>
      <c r="G24" s="52"/>
      <c r="H24" s="53"/>
    </row>
    <row r="25" spans="1:11" ht="15" x14ac:dyDescent="0.25">
      <c r="A25" s="3" t="s">
        <v>170</v>
      </c>
      <c r="B25" s="47" t="s">
        <v>405</v>
      </c>
      <c r="C25" s="57" t="s">
        <v>554</v>
      </c>
      <c r="D25" s="47"/>
      <c r="E25" s="2" t="s">
        <v>45</v>
      </c>
      <c r="F25" s="52"/>
      <c r="G25" s="52"/>
      <c r="H25" s="53"/>
    </row>
    <row r="26" spans="1:11" ht="15" x14ac:dyDescent="0.25">
      <c r="A26" s="3" t="s">
        <v>257</v>
      </c>
      <c r="B26" s="47" t="s">
        <v>405</v>
      </c>
      <c r="C26" s="57" t="s">
        <v>554</v>
      </c>
      <c r="D26" s="47"/>
      <c r="F26" s="52"/>
      <c r="G26" s="52"/>
      <c r="H26" s="53"/>
    </row>
    <row r="27" spans="1:11" ht="15" x14ac:dyDescent="0.25">
      <c r="A27" s="3" t="s">
        <v>585</v>
      </c>
      <c r="B27" s="47" t="s">
        <v>405</v>
      </c>
      <c r="C27" s="57" t="s">
        <v>554</v>
      </c>
      <c r="D27" s="47"/>
      <c r="F27" s="52"/>
      <c r="G27" s="52"/>
      <c r="H27" s="53"/>
    </row>
    <row r="28" spans="1:11" ht="15" x14ac:dyDescent="0.25">
      <c r="A28" s="3" t="s">
        <v>118</v>
      </c>
      <c r="B28" s="47" t="s">
        <v>117</v>
      </c>
      <c r="C28" s="57" t="s">
        <v>554</v>
      </c>
      <c r="D28" s="47"/>
      <c r="F28" s="52"/>
      <c r="G28" s="52">
        <v>29</v>
      </c>
      <c r="H28" s="53" t="s">
        <v>45</v>
      </c>
    </row>
    <row r="29" spans="1:11" ht="15" x14ac:dyDescent="0.25">
      <c r="A29" s="3" t="s">
        <v>180</v>
      </c>
      <c r="B29" s="47" t="s">
        <v>117</v>
      </c>
      <c r="C29" s="57" t="s">
        <v>554</v>
      </c>
      <c r="D29" s="47"/>
      <c r="F29" s="52"/>
      <c r="G29" s="52"/>
      <c r="H29" s="53"/>
    </row>
    <row r="30" spans="1:11" ht="15" x14ac:dyDescent="0.25">
      <c r="A30" s="3" t="s">
        <v>364</v>
      </c>
      <c r="B30" s="47" t="s">
        <v>117</v>
      </c>
      <c r="C30" s="57" t="s">
        <v>554</v>
      </c>
      <c r="D30" s="47"/>
      <c r="F30" s="52"/>
      <c r="G30" s="52">
        <v>21</v>
      </c>
      <c r="H30" s="53" t="s">
        <v>586</v>
      </c>
    </row>
    <row r="31" spans="1:11" ht="15" x14ac:dyDescent="0.25">
      <c r="A31" s="3" t="s">
        <v>587</v>
      </c>
      <c r="B31" s="47" t="s">
        <v>117</v>
      </c>
      <c r="C31" s="57" t="s">
        <v>554</v>
      </c>
      <c r="D31" s="47"/>
      <c r="F31" s="52"/>
      <c r="G31" s="52"/>
      <c r="H31" s="53"/>
    </row>
    <row r="32" spans="1:11" ht="15" x14ac:dyDescent="0.25">
      <c r="A32" s="48" t="s">
        <v>80</v>
      </c>
      <c r="B32" s="47" t="s">
        <v>442</v>
      </c>
      <c r="C32" s="57" t="s">
        <v>579</v>
      </c>
      <c r="D32" s="47"/>
      <c r="F32" s="52"/>
      <c r="G32" s="52">
        <v>21</v>
      </c>
      <c r="H32" s="53" t="s">
        <v>586</v>
      </c>
    </row>
    <row r="33" spans="1:8" ht="15" x14ac:dyDescent="0.25">
      <c r="A33" s="48" t="s">
        <v>226</v>
      </c>
      <c r="B33" s="47" t="s">
        <v>442</v>
      </c>
      <c r="C33" s="57" t="s">
        <v>579</v>
      </c>
      <c r="D33" s="47"/>
      <c r="F33" s="52"/>
      <c r="G33" s="52"/>
      <c r="H33" s="53"/>
    </row>
    <row r="34" spans="1:8" ht="15" x14ac:dyDescent="0.25">
      <c r="A34" s="48" t="s">
        <v>229</v>
      </c>
      <c r="B34" s="47" t="s">
        <v>442</v>
      </c>
      <c r="C34" s="57" t="s">
        <v>579</v>
      </c>
      <c r="D34" s="47"/>
      <c r="E34" s="2" t="s">
        <v>45</v>
      </c>
      <c r="F34" s="52" t="s">
        <v>555</v>
      </c>
      <c r="G34" s="52">
        <v>22</v>
      </c>
      <c r="H34" s="53" t="s">
        <v>588</v>
      </c>
    </row>
    <row r="35" spans="1:8" ht="15" x14ac:dyDescent="0.25">
      <c r="A35" s="45" t="s">
        <v>570</v>
      </c>
      <c r="B35" s="47" t="s">
        <v>442</v>
      </c>
      <c r="C35" s="57" t="s">
        <v>579</v>
      </c>
      <c r="D35" s="47"/>
      <c r="F35" s="52"/>
      <c r="G35" s="52">
        <v>37</v>
      </c>
      <c r="H35" s="53" t="s">
        <v>589</v>
      </c>
    </row>
    <row r="36" spans="1:8" ht="15" x14ac:dyDescent="0.25">
      <c r="A36" s="45" t="s">
        <v>33</v>
      </c>
      <c r="B36" s="47" t="s">
        <v>442</v>
      </c>
      <c r="C36" s="57" t="s">
        <v>579</v>
      </c>
      <c r="D36" s="47"/>
      <c r="E36" s="2" t="s">
        <v>45</v>
      </c>
      <c r="F36" s="52" t="s">
        <v>555</v>
      </c>
      <c r="G36" s="52">
        <v>25</v>
      </c>
      <c r="H36" s="53" t="s">
        <v>590</v>
      </c>
    </row>
    <row r="37" spans="1:8" ht="15" x14ac:dyDescent="0.25">
      <c r="A37" s="45" t="s">
        <v>126</v>
      </c>
      <c r="B37" s="47" t="s">
        <v>442</v>
      </c>
      <c r="C37" s="57" t="s">
        <v>579</v>
      </c>
      <c r="D37" s="47"/>
      <c r="F37" s="52"/>
      <c r="G37" s="52">
        <v>14</v>
      </c>
      <c r="H37" s="53" t="s">
        <v>591</v>
      </c>
    </row>
    <row r="38" spans="1:8" ht="15" x14ac:dyDescent="0.25">
      <c r="A38" s="45" t="s">
        <v>592</v>
      </c>
      <c r="B38" s="47" t="s">
        <v>52</v>
      </c>
      <c r="C38" s="57" t="s">
        <v>554</v>
      </c>
      <c r="D38" s="47"/>
      <c r="F38" s="52"/>
      <c r="G38" s="52"/>
      <c r="H38" s="53"/>
    </row>
    <row r="39" spans="1:8" ht="15" x14ac:dyDescent="0.25">
      <c r="A39" s="3" t="s">
        <v>593</v>
      </c>
      <c r="B39" s="3" t="s">
        <v>593</v>
      </c>
      <c r="C39" s="57" t="s">
        <v>554</v>
      </c>
      <c r="D39" s="47"/>
      <c r="F39" s="52"/>
      <c r="G39" s="52"/>
      <c r="H39" s="53"/>
    </row>
    <row r="40" spans="1:8" ht="15" x14ac:dyDescent="0.25">
      <c r="A40" s="3" t="s">
        <v>594</v>
      </c>
      <c r="B40" s="47" t="s">
        <v>595</v>
      </c>
      <c r="C40" s="57"/>
      <c r="D40" s="47"/>
      <c r="F40" s="52"/>
      <c r="G40" s="52"/>
      <c r="H40" s="53"/>
    </row>
    <row r="41" spans="1:8" ht="15" x14ac:dyDescent="0.25">
      <c r="A41" s="3"/>
      <c r="B41" s="47"/>
      <c r="C41" s="57"/>
      <c r="D41" s="47"/>
      <c r="F41" s="52"/>
      <c r="G41" s="52"/>
      <c r="H41" s="53"/>
    </row>
    <row r="42" spans="1:8" ht="15" x14ac:dyDescent="0.25">
      <c r="A42" s="3"/>
      <c r="B42" s="47"/>
      <c r="C42" s="57"/>
      <c r="D42" s="47"/>
      <c r="F42" s="52"/>
      <c r="G42" s="52"/>
      <c r="H42" s="53"/>
    </row>
    <row r="43" spans="1:8" ht="15" x14ac:dyDescent="0.25">
      <c r="A43" s="3"/>
      <c r="B43" s="47"/>
      <c r="C43" s="57"/>
      <c r="D43" s="47"/>
      <c r="F43" s="52"/>
      <c r="G43" s="52"/>
      <c r="H43" s="53"/>
    </row>
    <row r="44" spans="1:8" ht="15" x14ac:dyDescent="0.25">
      <c r="A44" s="3"/>
      <c r="B44" s="47"/>
      <c r="C44" s="57"/>
      <c r="D44" s="47"/>
      <c r="E44" s="2" t="s">
        <v>75</v>
      </c>
      <c r="F44" s="52" t="s">
        <v>555</v>
      </c>
      <c r="G44" s="52">
        <v>12</v>
      </c>
      <c r="H44" s="53" t="s">
        <v>596</v>
      </c>
    </row>
    <row r="45" spans="1:8" ht="15" x14ac:dyDescent="0.25">
      <c r="A45" s="3"/>
      <c r="B45" s="47"/>
      <c r="C45" s="57"/>
      <c r="D45" s="47"/>
      <c r="F45" s="52"/>
      <c r="G45" s="52">
        <v>89</v>
      </c>
      <c r="H45" s="53" t="s">
        <v>141</v>
      </c>
    </row>
    <row r="46" spans="1:8" ht="15" x14ac:dyDescent="0.25">
      <c r="A46" s="3"/>
      <c r="B46" s="47"/>
      <c r="C46" s="57"/>
      <c r="D46" s="47"/>
      <c r="F46" s="52"/>
      <c r="G46" s="52"/>
      <c r="H46" s="53"/>
    </row>
    <row r="47" spans="1:8" ht="15" x14ac:dyDescent="0.25">
      <c r="A47" s="3"/>
      <c r="B47" s="47"/>
      <c r="C47" s="57"/>
      <c r="D47" s="47"/>
      <c r="F47" s="52"/>
      <c r="G47" s="52">
        <v>98</v>
      </c>
      <c r="H47" s="53" t="s">
        <v>597</v>
      </c>
    </row>
    <row r="48" spans="1:8" ht="15" x14ac:dyDescent="0.25">
      <c r="A48" s="3"/>
      <c r="B48" s="47"/>
      <c r="C48" s="57"/>
      <c r="D48" s="47"/>
      <c r="E48" s="2" t="s">
        <v>579</v>
      </c>
      <c r="F48" s="52" t="s">
        <v>555</v>
      </c>
      <c r="G48" s="52">
        <v>90</v>
      </c>
      <c r="H48" s="53" t="s">
        <v>598</v>
      </c>
    </row>
    <row r="49" spans="1:8" ht="15" x14ac:dyDescent="0.25">
      <c r="A49" s="3"/>
      <c r="B49" s="47"/>
      <c r="C49" s="57"/>
      <c r="D49" s="47"/>
      <c r="E49" s="2" t="s">
        <v>579</v>
      </c>
      <c r="F49" s="52" t="s">
        <v>560</v>
      </c>
      <c r="G49" s="52">
        <v>49</v>
      </c>
      <c r="H49" s="53" t="s">
        <v>599</v>
      </c>
    </row>
    <row r="50" spans="1:8" ht="15" x14ac:dyDescent="0.25">
      <c r="A50" s="3"/>
      <c r="B50" s="47"/>
      <c r="C50" s="57"/>
      <c r="D50" s="47"/>
      <c r="F50" s="52"/>
      <c r="G50" s="52">
        <v>20</v>
      </c>
      <c r="H50" s="53" t="s">
        <v>600</v>
      </c>
    </row>
    <row r="51" spans="1:8" ht="15" x14ac:dyDescent="0.25">
      <c r="A51" s="3"/>
      <c r="B51" s="47"/>
      <c r="C51" s="57"/>
      <c r="D51" s="47"/>
      <c r="E51" s="2" t="s">
        <v>579</v>
      </c>
      <c r="F51" s="52" t="s">
        <v>560</v>
      </c>
      <c r="G51" s="52">
        <v>49</v>
      </c>
      <c r="H51" s="53" t="s">
        <v>599</v>
      </c>
    </row>
    <row r="52" spans="1:8" ht="15" x14ac:dyDescent="0.25">
      <c r="A52" s="48"/>
      <c r="B52" s="47"/>
      <c r="C52" s="57"/>
      <c r="D52" s="59"/>
      <c r="F52" s="52"/>
      <c r="G52" s="52"/>
      <c r="H52" s="53"/>
    </row>
    <row r="53" spans="1:8" ht="15" x14ac:dyDescent="0.25">
      <c r="A53" s="45"/>
      <c r="B53" s="47"/>
      <c r="C53" s="57"/>
      <c r="D53" s="47"/>
      <c r="E53" s="2" t="s">
        <v>45</v>
      </c>
      <c r="F53" s="52" t="s">
        <v>555</v>
      </c>
      <c r="G53" s="52">
        <v>35</v>
      </c>
      <c r="H53" s="53" t="s">
        <v>576</v>
      </c>
    </row>
    <row r="54" spans="1:8" ht="15" x14ac:dyDescent="0.25">
      <c r="A54" s="3"/>
      <c r="B54" s="47"/>
      <c r="C54" s="57"/>
      <c r="D54" s="47"/>
      <c r="E54" s="2" t="s">
        <v>45</v>
      </c>
      <c r="F54" s="52" t="s">
        <v>560</v>
      </c>
      <c r="G54" s="52">
        <v>75</v>
      </c>
      <c r="H54" s="53" t="s">
        <v>601</v>
      </c>
    </row>
    <row r="55" spans="1:8" ht="15" x14ac:dyDescent="0.25">
      <c r="A55" s="45"/>
      <c r="B55" s="47"/>
      <c r="C55" s="57"/>
      <c r="D55" s="47"/>
      <c r="F55" s="52" t="s">
        <v>577</v>
      </c>
      <c r="G55" s="52">
        <v>60</v>
      </c>
      <c r="H55" s="53" t="s">
        <v>177</v>
      </c>
    </row>
    <row r="56" spans="1:8" ht="15" x14ac:dyDescent="0.25">
      <c r="A56" s="45"/>
      <c r="B56" s="47"/>
      <c r="C56" s="57"/>
      <c r="D56" s="58"/>
      <c r="F56" s="52" t="s">
        <v>577</v>
      </c>
      <c r="G56" s="52">
        <v>61</v>
      </c>
      <c r="H56" s="53" t="s">
        <v>602</v>
      </c>
    </row>
    <row r="57" spans="1:8" ht="15" x14ac:dyDescent="0.25">
      <c r="A57" s="45"/>
      <c r="B57" s="47"/>
      <c r="C57" s="57"/>
      <c r="D57" s="47"/>
      <c r="F57" s="52" t="s">
        <v>577</v>
      </c>
      <c r="G57" s="52">
        <v>93</v>
      </c>
      <c r="H57" s="53" t="s">
        <v>603</v>
      </c>
    </row>
    <row r="58" spans="1:8" ht="15" customHeight="1" x14ac:dyDescent="0.25">
      <c r="A58" s="3"/>
      <c r="B58" s="3"/>
      <c r="C58" s="57"/>
      <c r="D58" s="47"/>
      <c r="F58" s="52" t="s">
        <v>577</v>
      </c>
      <c r="G58" s="52">
        <v>70</v>
      </c>
      <c r="H58" s="53" t="s">
        <v>604</v>
      </c>
    </row>
    <row r="59" spans="1:8" ht="15" x14ac:dyDescent="0.25">
      <c r="A59" s="3"/>
      <c r="B59" s="47"/>
      <c r="C59" s="5"/>
      <c r="D59" s="3"/>
      <c r="F59" s="52" t="s">
        <v>577</v>
      </c>
      <c r="G59" s="52">
        <v>65</v>
      </c>
      <c r="H59" s="53" t="s">
        <v>605</v>
      </c>
    </row>
    <row r="60" spans="1:8" ht="15" x14ac:dyDescent="0.25">
      <c r="F60" s="52" t="s">
        <v>577</v>
      </c>
      <c r="G60" s="52">
        <v>62</v>
      </c>
      <c r="H60" s="53" t="s">
        <v>606</v>
      </c>
    </row>
    <row r="61" spans="1:8" ht="15" x14ac:dyDescent="0.25">
      <c r="F61" s="52" t="s">
        <v>577</v>
      </c>
      <c r="G61" s="52">
        <v>63</v>
      </c>
      <c r="H61" s="53" t="s">
        <v>607</v>
      </c>
    </row>
    <row r="62" spans="1:8" ht="15" x14ac:dyDescent="0.25">
      <c r="F62" s="52" t="s">
        <v>577</v>
      </c>
      <c r="G62" s="52">
        <v>71</v>
      </c>
      <c r="H62" s="53" t="s">
        <v>608</v>
      </c>
    </row>
    <row r="63" spans="1:8" ht="15" x14ac:dyDescent="0.25">
      <c r="F63" s="52" t="s">
        <v>577</v>
      </c>
      <c r="G63" s="52">
        <v>64</v>
      </c>
      <c r="H63" s="53" t="s">
        <v>609</v>
      </c>
    </row>
    <row r="64" spans="1:8" ht="15" x14ac:dyDescent="0.25">
      <c r="F64" s="52" t="s">
        <v>577</v>
      </c>
      <c r="G64" s="52">
        <v>84</v>
      </c>
      <c r="H64" s="53" t="s">
        <v>610</v>
      </c>
    </row>
    <row r="65" spans="1:8" ht="15" x14ac:dyDescent="0.25">
      <c r="F65" s="52" t="s">
        <v>577</v>
      </c>
      <c r="G65" s="52">
        <v>66</v>
      </c>
      <c r="H65" s="53" t="s">
        <v>611</v>
      </c>
    </row>
    <row r="66" spans="1:8" ht="15" x14ac:dyDescent="0.25">
      <c r="A66" s="4"/>
      <c r="F66" s="52" t="s">
        <v>577</v>
      </c>
      <c r="G66" s="52">
        <v>67</v>
      </c>
      <c r="H66" s="53" t="s">
        <v>612</v>
      </c>
    </row>
    <row r="67" spans="1:8" ht="15" x14ac:dyDescent="0.25">
      <c r="F67" s="52" t="s">
        <v>577</v>
      </c>
      <c r="G67" s="52">
        <v>68</v>
      </c>
      <c r="H67" s="53" t="s">
        <v>613</v>
      </c>
    </row>
    <row r="68" spans="1:8" ht="15" x14ac:dyDescent="0.25">
      <c r="F68" s="52" t="s">
        <v>577</v>
      </c>
      <c r="G68" s="52">
        <v>95</v>
      </c>
      <c r="H68" s="53" t="s">
        <v>614</v>
      </c>
    </row>
    <row r="69" spans="1:8" ht="15.75" x14ac:dyDescent="0.25">
      <c r="F69" s="52" t="s">
        <v>577</v>
      </c>
      <c r="G69" s="52">
        <v>83</v>
      </c>
      <c r="H69" s="54" t="s">
        <v>615</v>
      </c>
    </row>
    <row r="70" spans="1:8" ht="15" x14ac:dyDescent="0.25">
      <c r="F70" s="52" t="s">
        <v>577</v>
      </c>
      <c r="G70" s="52">
        <v>94</v>
      </c>
      <c r="H70" s="53" t="s">
        <v>616</v>
      </c>
    </row>
    <row r="71" spans="1:8" ht="15" x14ac:dyDescent="0.25">
      <c r="F71" s="52" t="s">
        <v>577</v>
      </c>
      <c r="G71" s="52">
        <v>69</v>
      </c>
      <c r="H71" s="53" t="s">
        <v>617</v>
      </c>
    </row>
    <row r="72" spans="1:8" ht="15" x14ac:dyDescent="0.25">
      <c r="F72" s="52" t="s">
        <v>555</v>
      </c>
      <c r="G72" s="52">
        <v>16</v>
      </c>
      <c r="H72" s="53" t="s">
        <v>75</v>
      </c>
    </row>
    <row r="73" spans="1:8" ht="15" x14ac:dyDescent="0.25">
      <c r="F73" s="3"/>
      <c r="G73" s="3">
        <v>15</v>
      </c>
      <c r="H73" s="53" t="s">
        <v>75</v>
      </c>
    </row>
    <row r="74" spans="1:8" ht="15" x14ac:dyDescent="0.25">
      <c r="A74" s="4"/>
    </row>
    <row r="83" spans="1:1" ht="15" x14ac:dyDescent="0.25">
      <c r="A83" s="6"/>
    </row>
    <row r="84" spans="1:1" ht="15" x14ac:dyDescent="0.25">
      <c r="A84" s="6"/>
    </row>
  </sheetData>
  <sheetProtection selectLockedCells="1" selectUnlockedCells="1"/>
  <conditionalFormatting sqref="H106:H1048576 H1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 Doanh số</vt:lpstr>
      <vt:lpstr>Hủy</vt:lpstr>
      <vt:lpstr>HĐ Khung chuyển đổi TC</vt:lpstr>
      <vt:lpstr>MKT</vt:lpstr>
      <vt:lpstr>KPI theo nhân sự</vt:lpstr>
      <vt:lpstr>KPI theo Phòng ban</vt:lpstr>
      <vt:lpstr>Report</vt:lpstr>
      <vt:lpstr>Kết quả theo KPI</vt:lpstr>
      <vt:lpstr>BC tuần</vt:lpstr>
      <vt:lpstr>DROPDOWNDATA-NOFILL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FF-PC06</dc:creator>
  <cp:keywords/>
  <dc:description/>
  <cp:lastModifiedBy>Nguyễn Thị Mơ</cp:lastModifiedBy>
  <cp:revision/>
  <dcterms:created xsi:type="dcterms:W3CDTF">2024-05-15T04:22:43Z</dcterms:created>
  <dcterms:modified xsi:type="dcterms:W3CDTF">2026-07-04T10:57:28Z</dcterms:modified>
  <cp:category/>
  <cp:contentStatus/>
</cp:coreProperties>
</file>