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https://flexfitcom-my.sharepoint.com/personal/mont_flexfit_vn/Documents/MONT/Báo cáo doanh số/Báo cáo tiềm năng/Dữ liệu báo cáo tiềm năng/"/>
    </mc:Choice>
  </mc:AlternateContent>
  <xr:revisionPtr revIDLastSave="3" documentId="8_{8A8335D2-215C-4E66-90FA-87646CF4424E}" xr6:coauthVersionLast="47" xr6:coauthVersionMax="47" xr10:uidLastSave="{33394C9E-0A74-4CB6-B0BB-D2C47DE04C59}"/>
  <bookViews>
    <workbookView xWindow="-120" yWindow="-120" windowWidth="29040" windowHeight="15840" firstSheet="1" activeTab="1" xr2:uid="{00000000-000D-0000-FFFF-FFFF00000000}"/>
  </bookViews>
  <sheets>
    <sheet name="Report" sheetId="6" r:id="rId1"/>
    <sheet name="Danh sách dự kiến ký" sheetId="1" r:id="rId2"/>
  </sheets>
  <definedNames>
    <definedName name="Slicer_Trạng_thái">#N/A</definedName>
  </definedNames>
  <calcPr calcId="191028" calcOnSave="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 l="1"/>
  <c r="F9" i="1"/>
  <c r="F32" i="1"/>
  <c r="F41" i="1"/>
  <c r="A20" i="1"/>
  <c r="B20" i="1"/>
  <c r="A43" i="1"/>
  <c r="A44" i="1" s="1"/>
  <c r="F54" i="1" l="1"/>
  <c r="A45" i="1"/>
  <c r="A46" i="1" s="1"/>
  <c r="A48" i="1" s="1"/>
  <c r="A49" i="1" s="1"/>
  <c r="A50" i="1" s="1"/>
  <c r="A51" i="1" s="1"/>
  <c r="A52" i="1" s="1"/>
  <c r="A53" i="1" s="1"/>
</calcChain>
</file>

<file path=xl/sharedStrings.xml><?xml version="1.0" encoding="utf-8"?>
<sst xmlns="http://schemas.openxmlformats.org/spreadsheetml/2006/main" count="379" uniqueCount="157">
  <si>
    <t>Phòng ban</t>
  </si>
  <si>
    <t>Nhân viên</t>
  </si>
  <si>
    <t xml:space="preserve"> Doanh số dự kiến ký</t>
  </si>
  <si>
    <t>BU 3</t>
  </si>
  <si>
    <t>Ngô Thanh Tùng</t>
  </si>
  <si>
    <t>Dương Xuân Thái</t>
  </si>
  <si>
    <t>BU 1</t>
  </si>
  <si>
    <t>Lê Thị Sao Mai</t>
  </si>
  <si>
    <t>Hoàng Xuân Sơn</t>
  </si>
  <si>
    <t>Đinh Ngọc Thịnh</t>
  </si>
  <si>
    <t>Nguyễn Lâm Vũ</t>
  </si>
  <si>
    <t>BU 2</t>
  </si>
  <si>
    <t>Lê Thị Hằng</t>
  </si>
  <si>
    <t>Grand Total</t>
  </si>
  <si>
    <t>`</t>
  </si>
  <si>
    <t>DANH SÁCH CÁC LEAD DỰ KIẾN KÝ THÁNG + TIỀM NĂNG</t>
  </si>
  <si>
    <t>STT</t>
  </si>
  <si>
    <t>Khách hàng</t>
  </si>
  <si>
    <t>Đầu mối làm việc
(SĐT)</t>
  </si>
  <si>
    <t>Doanh số dự kiến ký</t>
  </si>
  <si>
    <t>Margin dự kiến</t>
  </si>
  <si>
    <t xml:space="preserve">Thời gian dự kiến ký </t>
  </si>
  <si>
    <t>Trạng thái</t>
  </si>
  <si>
    <t>Nguồn lead</t>
  </si>
  <si>
    <t>Mức độ tiềm năng</t>
  </si>
  <si>
    <t>Tình trạng chăm lead</t>
  </si>
  <si>
    <t>Đề xuất Hỗ trợ từ BGĐ</t>
  </si>
  <si>
    <t>I</t>
  </si>
  <si>
    <t>BU HCM</t>
  </si>
  <si>
    <t>Nguyễn Thanh Bình</t>
  </si>
  <si>
    <t>Khách sạn Đà Lạt</t>
  </si>
  <si>
    <t>anh Nam: 0912149609</t>
  </si>
  <si>
    <t>Tháng 9</t>
  </si>
  <si>
    <t>Tiềm năng</t>
  </si>
  <si>
    <t>Customer</t>
  </si>
  <si>
    <t>CĐT đang thi công thô đến sàn tầng 3. Sếp bên CĐT đang đi TQ để khảo sát vật liệu, lựa chọn đồ rời 
Sau khi sếp bên CĐT về và thống nhất định hướng triển khai thì sẽ liên hệ tao đổi lại</t>
  </si>
  <si>
    <t>Ms Thuân</t>
  </si>
  <si>
    <t>Phát sinh KS Phú Quốc</t>
  </si>
  <si>
    <t>Tuần 2 tháng 7</t>
  </si>
  <si>
    <t>Dự kiến ký tháng</t>
  </si>
  <si>
    <t>QS đang trình sếp Khôi Nguyên duyệt, Cô Oanh đi công tác dự kiến tuần này sẽ phê duyệt</t>
  </si>
  <si>
    <t>Ms Thuỷ</t>
  </si>
  <si>
    <t>VP KNI</t>
  </si>
  <si>
    <t>Đã gửi báo giá cho CĐT đang chờ CĐT phê duyệt</t>
  </si>
  <si>
    <t>Hồ Thị Thu Hằng</t>
  </si>
  <si>
    <t>Chị Quyên Phú Mỹ Hưng</t>
  </si>
  <si>
    <t>Tháng 7</t>
  </si>
  <si>
    <t>MKT</t>
  </si>
  <si>
    <t>3/7 đã gửi khách BOQ phần thô và NT</t>
  </si>
  <si>
    <t>II</t>
  </si>
  <si>
    <t>Anh Thanh</t>
  </si>
  <si>
    <t>Khách đang làm thiết kế bên khác, Đã gửi FF Ver1 ngày 1/7
Dự kiến 7/7 gửi báo giá</t>
  </si>
  <si>
    <t>anh Quyết</t>
  </si>
  <si>
    <t>3/7 gọi điện khách, khách đang hoàn thiện thô và yêu cầu chỉnh sửa lại 3D</t>
  </si>
  <si>
    <t>Anh Phong</t>
  </si>
  <si>
    <t>Đã khảo sát và khách ok làm thiết kế trước. Đang lên dự toán để khách nắm được giá thi công. Hẹn thứ 2 ký</t>
  </si>
  <si>
    <t>Anh Thành</t>
  </si>
  <si>
    <t>Khách thích sản phẩm của FF, sale đã dẫn khách đi tham quan công trình thực tế. Đang băn khoăn giá, sale đang hỗ trợ vì vượt ngân sách do thi công cả thô bị cao. Sale đang báo 520 triệu. Khách đang có 400 triệu. Đang đề xuất phương án thay đổi vật liệu</t>
  </si>
  <si>
    <t>Căn mẫu KS Hạ Long (Gói đồ rời)</t>
  </si>
  <si>
    <t>Partner</t>
  </si>
  <si>
    <t>2/7 Đã gửi mail chào giá + điều khoản thương mại và tiến độ, chờ phản hồi</t>
  </si>
  <si>
    <t>HK GLOBAL</t>
  </si>
  <si>
    <t>Holding</t>
  </si>
  <si>
    <t>25/06 Đã gửi lại thông tin gói đồ rời
2/7 CĐT đã gửi lại HĐNT; 3/7 FF gửi lại, đợi phản hồi
4/7 đang sửa lại báo giá và hẹn 6/7 gửi lại</t>
  </si>
  <si>
    <t>Mr Trung</t>
  </si>
  <si>
    <t>Chị Huyền, Anh Trường</t>
  </si>
  <si>
    <t>Tháng 8</t>
  </si>
  <si>
    <t>Đã báo giá thô nhưng không phù hợp với ngân sách của khách
Chiều 4/7 hẹn khách để trao đổi phần HĐTK (65tr) ký trước tháng này</t>
  </si>
  <si>
    <t>Chị Ngân</t>
  </si>
  <si>
    <t>Khách đang chọn đơn vị thiết kế khác, FF chào giá thi công dự kiến cuối tháng 7</t>
  </si>
  <si>
    <t>Nguyễn Ngọc Thanh</t>
  </si>
  <si>
    <t>Chị Trường, Anh Giang</t>
  </si>
  <si>
    <t>WALK-IN</t>
  </si>
  <si>
    <t>04/07 đã chốt 3D, dự kiến sang tuần kí thi công</t>
  </si>
  <si>
    <t>Vũ Ánh Dương</t>
  </si>
  <si>
    <t>Chị Minh Thu</t>
  </si>
  <si>
    <t>Đã báo giá khách, Khách đang phản hồi giá cao. Đang tìm thầu để hạ giá.</t>
  </si>
  <si>
    <t>Chị Ngân - Trần Phú</t>
  </si>
  <si>
    <t>Đã báo giá, chốt spec, chốt thiết kế. Mời khách qua văn phòng ký hợp đồng (dự kiến ngày 10/7, khách sẽ cố gắng sắp xếp công việc và báo lại)</t>
  </si>
  <si>
    <t>Anh Huy</t>
  </si>
  <si>
    <t>Đã lên thiết kế 3D, gửi báo giá khách. Khách chưa nhận nhà và đang ở quê có việc gia đình chưa liên hệ lại được, nên báo lại sau khi lên HN sẽ trao đổi</t>
  </si>
  <si>
    <t>Đàm Minh Hải</t>
  </si>
  <si>
    <t>Anh Tiến Anh</t>
  </si>
  <si>
    <t xml:space="preserve">Đã tư vấn phương án thiết kế và ngân sách đầu tư, khách đang bàn bạc lại với gia đình </t>
  </si>
  <si>
    <t>Chị Hồng</t>
  </si>
  <si>
    <t>Khách đang công tác ở SG nên chờ về HN để trao đổi</t>
  </si>
  <si>
    <t>Anh Quân</t>
  </si>
  <si>
    <t>Zalo</t>
  </si>
  <si>
    <t>4/7 chốt layout 2D, dự kiến 15/07 kí HĐTC</t>
  </si>
  <si>
    <t>Anh Dũng Tuấn - B2B - Văn phòng hạng sang</t>
  </si>
  <si>
    <t>Đã gửi báo giá ngày 27/06. Đã gặp CĐT 29/06 sang trao đổi về Báo giá và Phương án Kĩ thuật + Spec cùng CĐT
Đang điều chỉnh lại Spec</t>
  </si>
  <si>
    <t>Anh Khiêm</t>
  </si>
  <si>
    <t>Doanh số dự kiến 1 tỉ. Đơn B2B 10 căn hộ cho thuê. Triển khai TK trước căn mẫu. Công trình đang trong giai đoạn thi công ngăn tường xây thô</t>
  </si>
  <si>
    <t>Giới thiệu</t>
  </si>
  <si>
    <t>27/6 Nhận thông tin gói thầu đồ rời của dự án Lumi. 30/6 đã gửi lại BOQ và hẹn CĐT để trao đổi
3/7 khách phản hồi giá cao, đang tìm thêm thầu báo giá</t>
  </si>
  <si>
    <t>Anh Thức</t>
  </si>
  <si>
    <t>Tháng 10</t>
  </si>
  <si>
    <t>Đối tác</t>
  </si>
  <si>
    <t>2/7 Đã gửi báo giá V2. CĐT đã ok báo giá, dự kiến sau khi khách triển khai xong phần xây thô sẽ kí HĐTC nội thất</t>
  </si>
  <si>
    <t>Anh Tuấn</t>
  </si>
  <si>
    <t>Khách đã gửi báo giá 1 bên khác, dự kiến 8/7 sẽ gửi lại báo giá của FF cho khách</t>
  </si>
  <si>
    <t>KS Hải Phòng - Anh Phong</t>
  </si>
  <si>
    <t>Quý 4</t>
  </si>
  <si>
    <t>Anh Phong TVTK Raymond Đà Nẵng. Gói thầu bao gồm 1 căn mẫu, hạng mục thô và thiết bị. Dự Kiến Quý 4 triển khai. 
02/07 đã gửi lại báo giá sơ bộ để chào thầu. Khách hàng đang hợp tác với FF ở dự án Phú Quốc.
03/07 khách gửi lại Spec, đang cập nhật lại báo giá</t>
  </si>
  <si>
    <t>Chị Điệp - HGAA</t>
  </si>
  <si>
    <t>2/7 gửi lại báo giá V2, khách đang review</t>
  </si>
  <si>
    <t>III</t>
  </si>
  <si>
    <t>Văn Phòng Tuyển Sinh Trường - tại Hà Nội  (Trường Ardyring Lào Cai)</t>
  </si>
  <si>
    <t>Gửi báo giá 06/06/2026
30/6 Lên làm việc với Chủ tịch =&gt; 2/7 đã gửi lại dự toán, CĐT đang review</t>
  </si>
  <si>
    <t>Các lớp học khối trung học (Trường Ardyring Lào Cai)</t>
  </si>
  <si>
    <t>Đã gửi 3D, Báo giá cho CĐT  29/05
còn 3 phòng chức năng khác đang chạy 3D 15/06 trả CĐT
Phòng DA trình chủ tịch phê duyệt )
2/7 họp yêu cầu chạy lại 3D theo yêu cầu của cô chủ tịch để thi công gấp</t>
  </si>
  <si>
    <t xml:space="preserve">Căn mẫu Sunshine </t>
  </si>
  <si>
    <t>Làm việc qua Ms Huyền GRD</t>
  </si>
  <si>
    <t>+ Trúng thầu cả 2 phụ lục : tổng giá trị 2 Phụ lục là 2.4 tỷ ( MG &gt;25%)
+ Bên Tập đoàn Sunshine đã ký hợp đồng với GRD : phụ lục 1: từ ngày 21.05, và GRD đã làm bảo lãnh ngân hàng 01.06
  nhưng đến hiện tại Sunshine vẫn chưa tạm ứng cho bên GRD ( cho dù Phòng mua &amp; Phòng thi công đã thông báo là trong tuần này vừa sẽ tạm ứng)
&gt;&gt; 02.07: GRD thông báo hủy hợp đồng với Sunshine - vì sợ sau sẽ khó lấy tiền dc
+Sếp Trung sẽ trao đổi lại với chị Vân xem ntn, rồi quyết định</t>
  </si>
  <si>
    <t>Đoàn Thị Điểm</t>
  </si>
  <si>
    <t>Gửi phụ lục psinh : 17/06 
Dự kiến 6/7 ký</t>
  </si>
  <si>
    <t>HASCO-
 Deawoo Kim mã</t>
  </si>
  <si>
    <t>Reference</t>
  </si>
  <si>
    <t>2/7 đã ký PL 1 2,4 tỷ trước VAT =&gt; đang thi công
6/7 gửi PLPS 02 + 03</t>
  </si>
  <si>
    <t>Anh Tùng</t>
  </si>
  <si>
    <r>
      <rPr>
        <sz val="13"/>
        <color rgb="FF000000"/>
        <rFont val="Times New Roman"/>
      </rPr>
      <t xml:space="preserve">Đã gửi Dự toán : 22/05
</t>
    </r>
    <r>
      <rPr>
        <sz val="13"/>
        <color rgb="FFFF0000"/>
        <rFont val="Times New Roman"/>
      </rPr>
      <t xml:space="preserve">CĐT đang xây thô </t>
    </r>
  </si>
  <si>
    <t>Hóa dầu Quảng Ninh</t>
  </si>
  <si>
    <t>16/6 đi khảo sát, đang ra bản vẽ SOP và điều chỉnh lại báo giá gửi CĐT, bỏ hạng mục Thảm vì CĐT tự cung cấp
5/7 gửi dự toán, dự kiến sang tuần ký</t>
  </si>
  <si>
    <t>Anh Vũ (Yên Hòa)</t>
  </si>
  <si>
    <t>Đã khảo sát, đang chỉnh sửa lại thiết kế gửi khách
Sang tuần sẽ pass lại cho BU4</t>
  </si>
  <si>
    <t>IV</t>
  </si>
  <si>
    <t>Thiết kế nhà a Hân - Thái Nguyên</t>
  </si>
  <si>
    <t>Sale tự kiếm</t>
  </si>
  <si>
    <t>Đang tư vấn thiết kế sơ bộ, khách chưa làm đk thủ tục chuyển nhượng đất</t>
  </si>
  <si>
    <t>Booyoung - Campuchia</t>
  </si>
  <si>
    <t>Đang triển khai Hợp đồng đặt hàng mẫu (lần 2) vs thầu mới
03/07 CĐT qua E2 check hàng mẫu, dự kiến 7/7 chủ tịch Hàn Quốc bay sang check ver 2</t>
  </si>
  <si>
    <t>Nguyễn Kiều Vân</t>
  </si>
  <si>
    <t>Chị Trang Timecity</t>
  </si>
  <si>
    <t>09/07/2026</t>
  </si>
  <si>
    <t>KH đã ký hợp đồng thiết kế
Đã chốt 3D, đang điều chỉnh HSKT.</t>
  </si>
  <si>
    <t>Anh Dũng -Trung Văn</t>
  </si>
  <si>
    <t>KH đã có 3D, cần triển khai thi công. Đang cân nhắc về điều khoản thanh toán.</t>
  </si>
  <si>
    <t>Anh Ngọc</t>
  </si>
  <si>
    <t>02/7 đã gửi báo giá cho khách, khách bổ sung thêm một số hạng mục =&gt; đang điều chỉnh lại báo giá, sang tuần gửi lại khách</t>
  </si>
  <si>
    <t>Anh Minh</t>
  </si>
  <si>
    <t>Khách yêu cầu đổi cốt rẻ hơn, đã gửi báo giá ngày 2/7, đợi khách phản hồi</t>
  </si>
  <si>
    <t>HDB Thanh Trì</t>
  </si>
  <si>
    <t>19/06 đã đi gặp CĐT (sếp Trung, sếp Thuân đi cùng)
Đang điều chỉnh giá</t>
  </si>
  <si>
    <t>Cụm 36 Biệt thự Ecopark</t>
  </si>
  <si>
    <t>Tuần 3 tháng 7</t>
  </si>
  <si>
    <t>Tự kiếm</t>
  </si>
  <si>
    <t>20/06 đang làm việc lại về tiến độ phần thô. 
30/6 sang gặp CĐT =&gt; chỉnh sửa lại phần kiến trức căn mẫu, dự kiến giữa tháng 7 duyệt</t>
  </si>
  <si>
    <t>Anh Quân - Hà Nam</t>
  </si>
  <si>
    <t>22/07/2026</t>
  </si>
  <si>
    <t>Đã chốt 3D, đang đợi ván nên lùi lịch ký PL Thi công</t>
  </si>
  <si>
    <t>Nội thất 328 căn Chung cư Ecopark Sông Lam</t>
  </si>
  <si>
    <t>29/05/2026 vào gặp chủ đầu tư với sếp Trung và sếp Thuân. Đang tạm pouse</t>
  </si>
  <si>
    <t>Trường tiểu học Liên Hồng</t>
  </si>
  <si>
    <t>Hai bên đang thỏa thuận lại điều khoản thanh toán hợp đồng (đợi kế toán chốt điều khoản).</t>
  </si>
  <si>
    <t>Bệnh viện Thạch Thất</t>
  </si>
  <si>
    <t>CĐT gửi báo giá thi công, FF đang check với thầu xem vào được ko</t>
  </si>
  <si>
    <t>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</si>
</sst>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1010000]d/m/yyyy;@"/>
  </numFmts>
  <fonts count="7" x14ac:knownFonts="1">
    <font>
      <sz val="11"/>
      <color theme="1"/>
      <name val="Arial"/>
      <family val="2"/>
      <charset val="163"/>
      <scheme val="minor"/>
    </font>
    <font>
      <sz val="13"/>
      <color theme="1"/>
      <name val="Times New Roman"/>
    </font>
    <font>
      <b/>
      <sz val="13"/>
      <color theme="1"/>
      <name val="Times New Roman"/>
    </font>
    <font>
      <sz val="13"/>
      <color rgb="FFFF0000"/>
      <name val="Times New Roman"/>
    </font>
    <font>
      <b/>
      <sz val="13"/>
      <color rgb="FFFF0000"/>
      <name val="Times New Roman"/>
    </font>
    <font>
      <b/>
      <sz val="18"/>
      <color theme="1"/>
      <name val="Times New Roman"/>
      <family val="1"/>
    </font>
    <font>
      <sz val="13"/>
      <color rgb="FF000000"/>
      <name val="Times New Roman"/>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98">
    <xf numFmtId="0" fontId="0" fillId="0" borderId="0" xfId="0"/>
    <xf numFmtId="0" fontId="1" fillId="0" borderId="1" xfId="0" applyFont="1" applyBorder="1" applyAlignment="1">
      <alignment vertical="center" wrapText="1"/>
    </xf>
    <xf numFmtId="164" fontId="1" fillId="0" borderId="1" xfId="0" applyNumberFormat="1" applyFont="1" applyBorder="1" applyAlignment="1">
      <alignment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2"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9" fontId="1" fillId="0" borderId="1" xfId="0" applyNumberFormat="1" applyFont="1" applyBorder="1" applyAlignment="1">
      <alignment horizontal="center" vertical="center" wrapText="1"/>
    </xf>
    <xf numFmtId="0" fontId="0" fillId="0" borderId="12" xfId="0" pivotButton="1"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vertical="center"/>
    </xf>
    <xf numFmtId="164" fontId="0" fillId="0" borderId="12" xfId="0" applyNumberFormat="1" applyBorder="1" applyAlignment="1">
      <alignment vertical="center"/>
    </xf>
    <xf numFmtId="0" fontId="2" fillId="0" borderId="5"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3" borderId="0" xfId="0" applyFont="1" applyFill="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wrapText="1"/>
    </xf>
    <xf numFmtId="0" fontId="1" fillId="3" borderId="0" xfId="0" applyFont="1" applyFill="1" applyAlignment="1">
      <alignment vertical="center" wrapText="1"/>
    </xf>
    <xf numFmtId="0" fontId="1" fillId="0" borderId="0" xfId="0" applyFont="1" applyAlignment="1">
      <alignment horizontal="right" vertical="center" wrapText="1"/>
    </xf>
    <xf numFmtId="0" fontId="3" fillId="4" borderId="10"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3" fillId="4" borderId="11" xfId="0" applyFont="1" applyFill="1" applyBorder="1" applyAlignment="1">
      <alignment vertical="center" wrapText="1"/>
    </xf>
    <xf numFmtId="0" fontId="3" fillId="4" borderId="7" xfId="0" applyFont="1" applyFill="1" applyBorder="1" applyAlignment="1">
      <alignment vertical="center" wrapText="1"/>
    </xf>
    <xf numFmtId="164" fontId="4" fillId="4" borderId="7" xfId="0" applyNumberFormat="1" applyFont="1" applyFill="1" applyBorder="1" applyAlignment="1">
      <alignment vertical="center" wrapText="1"/>
    </xf>
    <xf numFmtId="9" fontId="1" fillId="4" borderId="1" xfId="0" applyNumberFormat="1" applyFont="1" applyFill="1" applyBorder="1" applyAlignment="1">
      <alignment horizontal="center" vertical="center" wrapText="1"/>
    </xf>
    <xf numFmtId="0" fontId="2" fillId="2" borderId="4" xfId="0" applyFont="1" applyFill="1" applyBorder="1" applyAlignment="1">
      <alignment horizontal="left" vertical="center" wrapText="1"/>
    </xf>
    <xf numFmtId="0" fontId="1" fillId="0" borderId="4" xfId="0" applyFont="1" applyBorder="1" applyAlignment="1">
      <alignment horizontal="left" vertical="center" wrapText="1"/>
    </xf>
    <xf numFmtId="0" fontId="3" fillId="4" borderId="8" xfId="0" applyFont="1" applyFill="1" applyBorder="1" applyAlignment="1">
      <alignment horizontal="left" vertical="center" wrapText="1"/>
    </xf>
    <xf numFmtId="0" fontId="1" fillId="0" borderId="0" xfId="0" applyFont="1" applyAlignment="1">
      <alignment horizontal="left" vertical="center" wrapText="1"/>
    </xf>
    <xf numFmtId="164" fontId="0" fillId="0" borderId="0" xfId="0" applyNumberFormat="1"/>
    <xf numFmtId="165" fontId="1"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1" fillId="0" borderId="1" xfId="0" quotePrefix="1" applyFont="1" applyBorder="1" applyAlignment="1">
      <alignment vertical="center" wrapText="1"/>
    </xf>
    <xf numFmtId="0" fontId="1" fillId="0" borderId="7" xfId="0" applyFont="1" applyBorder="1" applyAlignment="1">
      <alignment vertical="center" wrapText="1"/>
    </xf>
    <xf numFmtId="165" fontId="1" fillId="0" borderId="1" xfId="0" quotePrefix="1" applyNumberFormat="1" applyFont="1" applyBorder="1" applyAlignment="1">
      <alignment horizontal="center" vertical="center" wrapText="1"/>
    </xf>
    <xf numFmtId="9" fontId="1" fillId="0" borderId="0" xfId="0" applyNumberFormat="1" applyFont="1" applyAlignment="1">
      <alignment vertical="center" wrapText="1"/>
    </xf>
    <xf numFmtId="9" fontId="2" fillId="0" borderId="2" xfId="0" applyNumberFormat="1" applyFont="1" applyBorder="1" applyAlignment="1">
      <alignment horizontal="center" vertical="center" wrapText="1"/>
    </xf>
    <xf numFmtId="9" fontId="2" fillId="2" borderId="1"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6" fillId="0" borderId="1" xfId="0" applyFont="1" applyBorder="1" applyAlignment="1">
      <alignment vertical="center" wrapText="1"/>
    </xf>
    <xf numFmtId="0" fontId="2" fillId="2"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2" xfId="0" applyFont="1" applyBorder="1" applyAlignment="1">
      <alignment horizontal="center" vertical="center" wrapText="1"/>
    </xf>
    <xf numFmtId="9" fontId="1" fillId="0" borderId="4" xfId="0" applyNumberFormat="1" applyFont="1" applyBorder="1" applyAlignment="1">
      <alignment horizontal="center" vertical="center" wrapText="1"/>
    </xf>
    <xf numFmtId="0" fontId="1" fillId="3" borderId="3" xfId="0" applyFont="1" applyFill="1" applyBorder="1" applyAlignment="1">
      <alignment horizontal="center" vertical="center" wrapText="1"/>
    </xf>
    <xf numFmtId="0" fontId="1" fillId="0" borderId="7" xfId="0" applyFont="1" applyBorder="1" applyAlignment="1">
      <alignment horizontal="center" vertical="center" wrapText="1"/>
    </xf>
    <xf numFmtId="9" fontId="4" fillId="4" borderId="7" xfId="0" applyNumberFormat="1" applyFont="1" applyFill="1" applyBorder="1" applyAlignment="1">
      <alignment horizontal="center" vertical="center" wrapText="1"/>
    </xf>
    <xf numFmtId="9" fontId="1" fillId="0" borderId="0" xfId="0" applyNumberFormat="1" applyFont="1" applyAlignment="1">
      <alignment horizontal="center" vertical="center" wrapText="1"/>
    </xf>
    <xf numFmtId="0" fontId="3" fillId="4" borderId="7" xfId="0" applyFont="1" applyFill="1" applyBorder="1" applyAlignment="1">
      <alignment horizontal="center" vertical="center" wrapText="1"/>
    </xf>
    <xf numFmtId="164" fontId="1" fillId="0" borderId="0" xfId="0" applyNumberFormat="1" applyFont="1" applyAlignment="1">
      <alignment horizontal="center" vertical="center" wrapText="1"/>
    </xf>
    <xf numFmtId="0" fontId="1" fillId="6" borderId="9"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3" xfId="0" applyFont="1" applyFill="1" applyBorder="1" applyAlignment="1">
      <alignment vertical="center" wrapText="1"/>
    </xf>
    <xf numFmtId="0" fontId="1" fillId="6" borderId="1" xfId="0" applyFont="1" applyFill="1" applyBorder="1" applyAlignment="1">
      <alignment vertical="center" wrapText="1"/>
    </xf>
    <xf numFmtId="164" fontId="1" fillId="6" borderId="1" xfId="0" applyNumberFormat="1" applyFont="1" applyFill="1" applyBorder="1" applyAlignment="1">
      <alignment vertical="center" wrapText="1"/>
    </xf>
    <xf numFmtId="9" fontId="1" fillId="6" borderId="1" xfId="0" applyNumberFormat="1" applyFont="1" applyFill="1" applyBorder="1" applyAlignment="1">
      <alignment horizontal="center" vertical="center" wrapText="1"/>
    </xf>
    <xf numFmtId="0" fontId="1" fillId="6" borderId="4" xfId="0" applyFont="1" applyFill="1" applyBorder="1" applyAlignment="1">
      <alignment horizontal="left" vertical="center" wrapText="1"/>
    </xf>
    <xf numFmtId="164" fontId="1" fillId="6" borderId="0" xfId="0" applyNumberFormat="1" applyFont="1" applyFill="1" applyAlignment="1">
      <alignment vertical="center" wrapText="1"/>
    </xf>
    <xf numFmtId="0" fontId="1" fillId="6" borderId="0" xfId="0" applyFont="1" applyFill="1" applyAlignment="1">
      <alignment vertical="center" wrapText="1"/>
    </xf>
    <xf numFmtId="0" fontId="1" fillId="6" borderId="3" xfId="0" applyFont="1" applyFill="1" applyBorder="1" applyAlignment="1">
      <alignment horizontal="center" vertical="center" wrapText="1"/>
    </xf>
    <xf numFmtId="0" fontId="1" fillId="6"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1" xfId="0" applyFont="1" applyFill="1" applyBorder="1" applyAlignment="1">
      <alignment vertical="center" wrapText="1"/>
    </xf>
    <xf numFmtId="164" fontId="1" fillId="3" borderId="1" xfId="0" applyNumberFormat="1" applyFont="1" applyFill="1" applyBorder="1" applyAlignment="1">
      <alignment vertical="center" wrapText="1"/>
    </xf>
    <xf numFmtId="9" fontId="1" fillId="3" borderId="1" xfId="0" applyNumberFormat="1" applyFont="1" applyFill="1" applyBorder="1" applyAlignment="1">
      <alignment horizontal="center" vertical="center" wrapText="1"/>
    </xf>
    <xf numFmtId="165" fontId="1" fillId="3" borderId="1" xfId="0" applyNumberFormat="1" applyFont="1" applyFill="1" applyBorder="1" applyAlignment="1">
      <alignment horizontal="center" vertical="center" wrapText="1"/>
    </xf>
    <xf numFmtId="0" fontId="1" fillId="3" borderId="4" xfId="0" applyFont="1" applyFill="1" applyBorder="1" applyAlignment="1">
      <alignment horizontal="left" vertical="center" wrapText="1"/>
    </xf>
    <xf numFmtId="164" fontId="1" fillId="3" borderId="0" xfId="0" applyNumberFormat="1" applyFont="1" applyFill="1" applyAlignment="1">
      <alignment vertical="center" wrapText="1"/>
    </xf>
    <xf numFmtId="14" fontId="1" fillId="6" borderId="1" xfId="0" applyNumberFormat="1"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11" xfId="0" applyFont="1" applyBorder="1" applyAlignment="1">
      <alignment horizontal="left" vertical="center" wrapText="1"/>
    </xf>
    <xf numFmtId="164" fontId="1" fillId="0" borderId="7" xfId="0" applyNumberFormat="1" applyFont="1" applyBorder="1" applyAlignment="1">
      <alignment vertical="center" wrapText="1"/>
    </xf>
    <xf numFmtId="9" fontId="1" fillId="0" borderId="7" xfId="0" applyNumberFormat="1" applyFont="1" applyBorder="1" applyAlignment="1">
      <alignment horizontal="center" vertical="center" wrapText="1"/>
    </xf>
    <xf numFmtId="165" fontId="1" fillId="0" borderId="7" xfId="0" applyNumberFormat="1" applyFont="1" applyBorder="1" applyAlignment="1">
      <alignment horizontal="center" vertical="center" wrapText="1"/>
    </xf>
    <xf numFmtId="0" fontId="1" fillId="0" borderId="8" xfId="0" applyFont="1" applyBorder="1" applyAlignment="1">
      <alignment horizontal="left" vertical="center" wrapText="1"/>
    </xf>
    <xf numFmtId="0" fontId="1" fillId="0" borderId="13" xfId="0" applyFont="1" applyBorder="1" applyAlignment="1">
      <alignment horizontal="center" vertical="center" wrapText="1"/>
    </xf>
    <xf numFmtId="0" fontId="1" fillId="0" borderId="2" xfId="0" applyFont="1" applyBorder="1" applyAlignment="1">
      <alignment horizontal="left" vertical="center" wrapText="1"/>
    </xf>
    <xf numFmtId="164" fontId="1" fillId="0" borderId="2" xfId="0" applyNumberFormat="1" applyFont="1" applyBorder="1" applyAlignment="1">
      <alignment vertical="center" wrapText="1"/>
    </xf>
    <xf numFmtId="9" fontId="1" fillId="0" borderId="2"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1" fillId="3" borderId="5" xfId="0" applyFont="1" applyFill="1" applyBorder="1" applyAlignment="1">
      <alignment horizontal="center" vertical="center" wrapText="1"/>
    </xf>
    <xf numFmtId="0" fontId="1" fillId="0" borderId="2" xfId="0" quotePrefix="1" applyFont="1" applyBorder="1" applyAlignment="1">
      <alignment vertical="center" wrapText="1"/>
    </xf>
    <xf numFmtId="0" fontId="1" fillId="0" borderId="6" xfId="0" applyFont="1" applyBorder="1" applyAlignment="1">
      <alignment horizontal="left" vertical="center" wrapText="1"/>
    </xf>
    <xf numFmtId="14" fontId="1" fillId="0" borderId="2" xfId="0" applyNumberFormat="1" applyFont="1" applyBorder="1" applyAlignment="1">
      <alignment horizontal="center" vertical="center" wrapText="1"/>
    </xf>
    <xf numFmtId="0" fontId="6" fillId="0" borderId="1" xfId="0" quotePrefix="1" applyFont="1" applyBorder="1" applyAlignment="1">
      <alignment vertical="center" wrapText="1"/>
    </xf>
    <xf numFmtId="0" fontId="5" fillId="0" borderId="0" xfId="0" applyFont="1" applyAlignment="1">
      <alignment horizontal="center" vertical="center"/>
    </xf>
  </cellXfs>
  <cellStyles count="1">
    <cellStyle name="Normal" xfId="0" builtinId="0"/>
  </cellStyles>
  <dxfs count="34">
    <dxf>
      <font>
        <b val="0"/>
        <i val="0"/>
        <strike val="0"/>
        <condense val="0"/>
        <extend val="0"/>
        <outline val="0"/>
        <shadow val="0"/>
        <u val="none"/>
        <vertAlign val="baseline"/>
        <sz val="13"/>
        <color theme="1"/>
        <name val="Times New Roman"/>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cent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bottom/>
      </bord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200025</xdr:colOff>
      <xdr:row>1</xdr:row>
      <xdr:rowOff>171450</xdr:rowOff>
    </xdr:from>
    <xdr:to>
      <xdr:col>9</xdr:col>
      <xdr:colOff>180975</xdr:colOff>
      <xdr:row>15</xdr:row>
      <xdr:rowOff>142875</xdr:rowOff>
    </xdr:to>
    <mc:AlternateContent xmlns:mc="http://schemas.openxmlformats.org/markup-compatibility/2006" xmlns:a14="http://schemas.microsoft.com/office/drawing/2010/main">
      <mc:Choice Requires="a14">
        <xdr:graphicFrame macro="">
          <xdr:nvGraphicFramePr>
            <xdr:cNvPr id="7" name="Trạng thái">
              <a:extLst>
                <a:ext uri="{FF2B5EF4-FFF2-40B4-BE49-F238E27FC236}">
                  <a16:creationId xmlns:a16="http://schemas.microsoft.com/office/drawing/2014/main" id="{0DEE8FFF-0354-321B-A094-F9A62611E93B}"/>
                </a:ext>
              </a:extLst>
            </xdr:cNvPr>
            <xdr:cNvGraphicFramePr/>
          </xdr:nvGraphicFramePr>
          <xdr:xfrm>
            <a:off x="0" y="0"/>
            <a:ext cx="0" cy="0"/>
          </xdr:xfrm>
          <a:graphic>
            <a:graphicData uri="http://schemas.microsoft.com/office/drawing/2010/slicer">
              <sle:slicer xmlns:sle="http://schemas.microsoft.com/office/drawing/2010/slicer" name="Trạng thái"/>
            </a:graphicData>
          </a:graphic>
        </xdr:graphicFrame>
      </mc:Choice>
      <mc:Fallback xmlns="">
        <xdr:sp macro="" textlink="">
          <xdr:nvSpPr>
            <xdr:cNvPr id="0" name=""/>
            <xdr:cNvSpPr>
              <a:spLocks noTextEdit="1"/>
            </xdr:cNvSpPr>
          </xdr:nvSpPr>
          <xdr:spPr>
            <a:xfrm>
              <a:off x="5705475" y="3619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4.881354050929" createdVersion="8" refreshedVersion="8" minRefreshableVersion="3" recordCount="45" xr:uid="{3C70C7AF-468D-46B6-AC12-E9848BD45200}">
  <cacheSource type="worksheet">
    <worksheetSource name="Table5"/>
  </cacheSource>
  <cacheFields count="13">
    <cacheField name="STT" numFmtId="0">
      <sharedItems containsBlank="1" containsMixedTypes="1" containsNumber="1" containsInteger="1" minValue="1" maxValue="15"/>
    </cacheField>
    <cacheField name="Phòng ban" numFmtId="0">
      <sharedItems count="8">
        <s v="BU HCM"/>
        <s v="BU 1"/>
        <s v="BU 2"/>
        <s v="BU 3"/>
        <s v="TỔNG"/>
        <s v="BU2" u="1"/>
        <s v="BU3" u="1"/>
        <s v="BU1" u="1"/>
      </sharedItems>
    </cacheField>
    <cacheField name="Nhân viên" numFmtId="0">
      <sharedItems containsBlank="1" count="30">
        <m/>
        <s v="Nguyễn Thanh Bình"/>
        <s v="Đinh Ngọc Thịnh"/>
        <s v="Hoàng Xuân Sơn"/>
        <s v="Lê Thị Sao Mai"/>
        <s v="Nguyễn Lâm Vũ"/>
        <s v="Nguyễn Ngọc Thanh"/>
        <s v="Vũ Ánh Dương"/>
        <s v="Đàm Mạnh Hải"/>
        <s v="Lê Thị Hằng"/>
        <s v="Dương Xuân Thái"/>
        <s v="Ngô Thanh Tùng"/>
        <s v="Nguyễn Kiều Vân"/>
        <s v="Lê Thị Hằng " u="1"/>
        <s v="Chu Hoàng Nam" u="1"/>
        <s v="Phạm Hoàng Giang" u="1"/>
        <s v="Phạm Trường Giang" u="1"/>
        <s v="Đỗ Đắc Long" u="1"/>
        <s v="Trần Hán Triều" u="1"/>
        <s v="Hồ Hằng" u="1"/>
        <s v="Trần Thị Phương Thảo" u="1"/>
        <s v="Phạm Thanh Việt" u="1"/>
        <s v="Nguyễn Thị Vân" u="1"/>
        <s v="Đàm Bình Minh" u="1"/>
        <s v="Nguyễn Ánh Dương" u="1"/>
        <s v="Nguyễn Đắc Long" u="1"/>
        <s v="Đặng Công Bình" u="1"/>
        <s v="Nguyễn Kiều Vân " u="1"/>
        <s v="Trần Tuấn Anh" u="1"/>
        <s v="Phạm Nguyên Khánh" u="1"/>
      </sharedItems>
    </cacheField>
    <cacheField name="Khách hàng" numFmtId="0">
      <sharedItems containsBlank="1"/>
    </cacheField>
    <cacheField name="Đầu mối làm việc_x000a_(SĐT)" numFmtId="0">
      <sharedItems containsBlank="1"/>
    </cacheField>
    <cacheField name="Doanh số dự kiến ký" numFmtId="164">
      <sharedItems containsSemiMixedTypes="0" containsString="0" containsNumber="1" containsInteger="1" minValue="20000000" maxValue="282223000000"/>
    </cacheField>
    <cacheField name="Margin dự kiến" numFmtId="9">
      <sharedItems containsString="0" containsBlank="1" containsNumber="1" minValue="0.08" maxValue="0.3"/>
    </cacheField>
    <cacheField name="Thời gian dự kiến ký " numFmtId="0">
      <sharedItems containsBlank="1"/>
    </cacheField>
    <cacheField name="Trạng thái" numFmtId="0">
      <sharedItems containsBlank="1" count="3">
        <m/>
        <s v="Dự kiến ký tháng"/>
        <s v="Tiềm năng"/>
      </sharedItems>
    </cacheField>
    <cacheField name="Nguồn lead" numFmtId="0">
      <sharedItems containsBlank="1"/>
    </cacheField>
    <cacheField name="Mức độ tiềm năng" numFmtId="0">
      <sharedItems containsString="0" containsBlank="1" containsNumber="1" minValue="0.5" maxValue="1"/>
    </cacheField>
    <cacheField name="Tình trạng chăm lead" numFmtId="0">
      <sharedItems containsBlank="1" longText="1"/>
    </cacheField>
    <cacheField name="Đề xuất Hỗ trợ từ BGĐ" numFmtId="0">
      <sharedItems containsNonDate="0" containsString="0" containsBlank="1"/>
    </cacheField>
  </cacheFields>
  <extLst>
    <ext xmlns:x14="http://schemas.microsoft.com/office/spreadsheetml/2009/9/main" uri="{725AE2AE-9491-48be-B2B4-4EB974FC3084}">
      <x14:pivotCacheDefinition pivotCacheId="156875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I"/>
    <x v="0"/>
    <x v="0"/>
    <m/>
    <m/>
    <n v="2600000000"/>
    <m/>
    <m/>
    <x v="0"/>
    <m/>
    <m/>
    <m/>
    <m/>
  </r>
  <r>
    <n v="1"/>
    <x v="0"/>
    <x v="1"/>
    <s v="Khách sạn Đà Lạt"/>
    <s v="anh Nam: 0912149609"/>
    <n v="2000000000"/>
    <n v="0.2"/>
    <s v="Tháng 6"/>
    <x v="1"/>
    <s v="Customer"/>
    <n v="0.8"/>
    <s v="Đã gửi báo giá cho BU 1 gửi khách, đang chờ khách đánh giá và trao đổi. "/>
    <m/>
  </r>
  <r>
    <n v="2"/>
    <x v="0"/>
    <x v="1"/>
    <s v="Phát sinh KS Phú Quốc"/>
    <m/>
    <n v="500000000"/>
    <n v="0.2"/>
    <s v="Tháng 6"/>
    <x v="1"/>
    <s v="Customer"/>
    <n v="0.7"/>
    <s v="Gửi báo giá phát sinh ngày 23/05_x000a_QS đang trình sếp Khôi Nguyên duyệt, dự kiến đầu tuần tới ký"/>
    <m/>
  </r>
  <r>
    <n v="3"/>
    <x v="0"/>
    <x v="1"/>
    <s v="Phát sinh Netnam"/>
    <m/>
    <n v="100000000"/>
    <n v="0.2"/>
    <s v="22-24/06"/>
    <x v="1"/>
    <s v="Customer"/>
    <n v="0.7"/>
    <m/>
    <m/>
  </r>
  <r>
    <s v="II"/>
    <x v="1"/>
    <x v="0"/>
    <m/>
    <m/>
    <n v="24253000000"/>
    <m/>
    <m/>
    <x v="0"/>
    <m/>
    <m/>
    <m/>
    <m/>
  </r>
  <r>
    <n v="1"/>
    <x v="1"/>
    <x v="2"/>
    <s v="Anh Thanh"/>
    <m/>
    <n v="500000000"/>
    <n v="0.3"/>
    <s v="Tháng 7"/>
    <x v="2"/>
    <s v="MKT"/>
    <n v="0.6"/>
    <s v="Khách đang làm thiết kế bên khác, đang chỉnh sửa 3D và thích sản phẩm thi công bên mình. Dự kiến tháng 7 hoàn thiện."/>
    <m/>
  </r>
  <r>
    <n v="2"/>
    <x v="1"/>
    <x v="2"/>
    <s v="anh Quyết"/>
    <m/>
    <n v="1000000000"/>
    <n v="0.25"/>
    <s v="Tháng 7"/>
    <x v="2"/>
    <s v="MKT"/>
    <n v="0.8"/>
    <s v="20/06 liên hệ lại khách. Khách vẫn đang triển khai chậm phần thô. Khách hẹn sẽ báo lại vì đang băn khoăn thiết kế phòng khách. Đã ok hỗ trợ khách thiết kế lại phòng khách để triển khai thi công."/>
    <m/>
  </r>
  <r>
    <n v="3"/>
    <x v="1"/>
    <x v="3"/>
    <s v="Khách sạn Hạ Long"/>
    <m/>
    <n v="7000000000"/>
    <n v="0.15"/>
    <s v="Tháng 7"/>
    <x v="2"/>
    <s v="Partner"/>
    <n v="0.7"/>
    <s v="Đang chỉnh sửa báo giá"/>
    <m/>
  </r>
  <r>
    <n v="4"/>
    <x v="1"/>
    <x v="3"/>
    <s v="Căn mẫu KS Hạ Long (Gói đồ rời)"/>
    <m/>
    <n v="900000000"/>
    <n v="0.2"/>
    <s v="Tháng 6"/>
    <x v="1"/>
    <s v="Partner"/>
    <n v="0.7"/>
    <s v="Đang giai đoạn đàm phán về các điều khoản của hợp đồng."/>
    <m/>
  </r>
  <r>
    <n v="5"/>
    <x v="1"/>
    <x v="4"/>
    <s v="HK GLOBAL"/>
    <m/>
    <n v="8000000000"/>
    <n v="0.15"/>
    <s v="Tháng 7"/>
    <x v="2"/>
    <s v="Holding"/>
    <n v="0.5"/>
    <s v="Update 13/06 đang trao đổi tiến độ báo giá, thi công căn mẫu ngày 10/6. Dự kiến 15/06 kí thỏa thuận hợp tác HK và FFok "/>
    <m/>
  </r>
  <r>
    <n v="6"/>
    <x v="1"/>
    <x v="3"/>
    <s v="Chị Huyền, Anh Trường"/>
    <m/>
    <n v="2500000000"/>
    <n v="0.18"/>
    <s v="Tháng 6"/>
    <x v="1"/>
    <s v="Partner"/>
    <n v="0.6"/>
    <s v="Đã gửi báo giá ngày 11/6. Đang chờ khách tham khảo và phản hồi"/>
    <m/>
  </r>
  <r>
    <n v="7"/>
    <x v="1"/>
    <x v="5"/>
    <s v="Chị Ngân"/>
    <m/>
    <n v="500000000"/>
    <n v="0.2"/>
    <s v="Tháng 7"/>
    <x v="2"/>
    <s v="MKT"/>
    <n v="0.7"/>
    <s v="Đã qua khảo sát đo đạc. Đang lên báo giá và tư vấn dự kiến sang tuần gửi khách"/>
    <m/>
  </r>
  <r>
    <n v="8"/>
    <x v="1"/>
    <x v="4"/>
    <s v="Chị Trường, Anh Giang"/>
    <m/>
    <n v="500000000"/>
    <n v="0.2"/>
    <s v="Tháng 6"/>
    <x v="1"/>
    <s v="WALK-IN"/>
    <n v="0.7"/>
    <s v="Đã ký 3D, Đag triển khai TK 3D. "/>
    <m/>
  </r>
  <r>
    <n v="9"/>
    <x v="1"/>
    <x v="6"/>
    <s v="Chị Nguyệt Anh"/>
    <m/>
    <n v="400000000"/>
    <n v="0.2"/>
    <s v="Tháng 6"/>
    <x v="1"/>
    <s v="MKT"/>
    <n v="0.6"/>
    <s v="Gửi phương án concept cho KH 10/6._x000a_Dự kiến chốt thiết kế và chuyển đổi thi công 400 tr vào cuối tháng"/>
    <m/>
  </r>
  <r>
    <n v="10"/>
    <x v="1"/>
    <x v="7"/>
    <s v="Chị Minh Thu"/>
    <m/>
    <n v="150000000"/>
    <n v="0.2"/>
    <s v="Tháng 6"/>
    <x v="1"/>
    <s v="MKT"/>
    <n v="0.6"/>
    <s v="Khách đã có thiết kế 3D, hẹn khách đầu tuần tới ngày 22/06 gửi lại báo giá."/>
    <m/>
  </r>
  <r>
    <n v="11"/>
    <x v="1"/>
    <x v="7"/>
    <s v="Chị Ngân Mỹ Đức"/>
    <m/>
    <n v="83000000"/>
    <n v="0.2"/>
    <s v="Tháng 6"/>
    <x v="1"/>
    <s v="MKT"/>
    <n v="0.6"/>
    <s v="18/06 đã báo giá, chờ khách phản hồi"/>
    <m/>
  </r>
  <r>
    <n v="12"/>
    <x v="1"/>
    <x v="7"/>
    <s v="Anh Huy"/>
    <m/>
    <n v="20000000"/>
    <n v="0.2"/>
    <s v="Tháng 6"/>
    <x v="1"/>
    <s v="MKT"/>
    <n v="0.6"/>
    <s v="Đã lên thiết kế 3D, gửi báo giá chờ khách phản hồi. "/>
    <m/>
  </r>
  <r>
    <n v="13"/>
    <x v="1"/>
    <x v="8"/>
    <s v="Anh Tiến Anh"/>
    <m/>
    <n v="300000000"/>
    <n v="0.2"/>
    <s v="Tháng 6"/>
    <x v="1"/>
    <s v="MKT"/>
    <n v="0.8"/>
    <s v="18/06 trao đổi với khách. Dự kiến ký thiết kế trước 13 triệu. Hẹn 23/06 phản hồi."/>
    <m/>
  </r>
  <r>
    <n v="14"/>
    <x v="1"/>
    <x v="8"/>
    <s v="Chị Hồng"/>
    <m/>
    <n v="400000000"/>
    <n v="0.2"/>
    <s v="Tháng 6"/>
    <x v="1"/>
    <s v="MKT"/>
    <n v="0.5"/>
    <s v="16/06 trao đổi với khách. Dự kiến ký thiết kế trước. Hẹn ngày 22/06 phản hồi chốt hoặc không."/>
    <m/>
  </r>
  <r>
    <n v="15"/>
    <x v="1"/>
    <x v="8"/>
    <s v="Anh Dũng Tuấn - B2B - Văn phòng hạng sang"/>
    <m/>
    <n v="2000000000"/>
    <n v="0.2"/>
    <s v="Tháng 6"/>
    <x v="1"/>
    <s v="MKT"/>
    <n v="0.5"/>
    <s v="19/06 Đang chào giá chủ đầu tư. Hẹn 23/06 gửi báo giá. "/>
    <m/>
  </r>
  <r>
    <s v="III"/>
    <x v="2"/>
    <x v="0"/>
    <m/>
    <m/>
    <n v="18550000000"/>
    <m/>
    <m/>
    <x v="0"/>
    <m/>
    <m/>
    <m/>
    <m/>
  </r>
  <r>
    <n v="1"/>
    <x v="2"/>
    <x v="9"/>
    <s v="Trường Ardyring Lào Cai"/>
    <m/>
    <n v="4400000000"/>
    <n v="0.25"/>
    <s v="Tháng 6"/>
    <x v="1"/>
    <s v="Partner"/>
    <n v="0.7"/>
    <s v="Văn Phòng Tuyển Sinh Trường - tại Hà Nội _x000a_Gửi báo giá 06/06/2026_x000a_Chờ Phòng dự án trình Chủ tịch "/>
    <m/>
  </r>
  <r>
    <n v="2"/>
    <x v="2"/>
    <x v="9"/>
    <s v="Trường Ardyring Lào Cai"/>
    <m/>
    <n v="1200000000"/>
    <n v="0.25"/>
    <s v="Tháng 6"/>
    <x v="1"/>
    <s v="Partner"/>
    <n v="0.7"/>
    <s v="Các lớp học khối trung học _x000a_( đã gửi 3D, Báo giá cho CĐT ) 29/05_x000a_còn 3 phòng chức năng khác đang chạy 3D: dự kiến 15/06 trả CĐT_x000a_Phòng DA trình chủ tịch phê duyệt )"/>
    <m/>
  </r>
  <r>
    <n v="3"/>
    <x v="2"/>
    <x v="9"/>
    <s v="Căn mẫu Sunshine "/>
    <s v="Làm việc qua Ms Huyền GRD"/>
    <n v="1300000000"/>
    <n v="0.25"/>
    <s v="Tháng 6"/>
    <x v="1"/>
    <s v="Partner"/>
    <n v="0.7"/>
    <s v="1/ Phụ lục hợp đồng 01: 1.260.000.000 vnđ :( Ký HĐ+ Ck tiền) từ GRD_x000a_(GRD đã làm xong bảo lãnh với CĐT ) _x000a_chờ CĐT chuyển tiền &gt;&gt; thi công_x000a_2/ Phụ lục hợp đồng 02: 1.000.000.000 vnđ : 12/06 đã gửi lại BOQ theo speck mới _x000a_CĐT đã chốt PA &amp; Speck vật liệu : 12/06/2026_x000a_Chờ CEO duyệt báo giá: 17/06"/>
    <m/>
  </r>
  <r>
    <n v="4"/>
    <x v="2"/>
    <x v="9"/>
    <s v="Đoàn Thị Điểm"/>
    <m/>
    <n v="800000000"/>
    <n v="0.25"/>
    <s v="Tháng 6"/>
    <x v="1"/>
    <s v="Partner"/>
    <n v="1"/>
    <s v="3D gửi CĐT : chốt ( 2 phòng : Thư viện, Tuyển sinh) 10.06_x000a_3D phòng Hội trường gửi CDT 13/06_x000a_Chờ CDT phê duyệt 3D: 15/06_x000a_&gt;&gt; gửi phụ lục psinh : 17/06 _x000a_"/>
    <m/>
  </r>
  <r>
    <n v="5"/>
    <x v="2"/>
    <x v="9"/>
    <s v="HASCO-_x000a_ Deawoo Kim mã"/>
    <m/>
    <n v="1200000000"/>
    <n v="0.25"/>
    <s v="Tháng 6"/>
    <x v="1"/>
    <s v="Reference"/>
    <n v="0.5"/>
    <s v="1/ lên khái toán Fitout &amp; MEP cho CĐT : 15/06 Trả bài_x000a_2/ 2D bên CĐT đang thuê tk, họ sẽ gửi lại để check và hoàn thiện báo giá _x000a_&gt;&gt; Đàm phán thi công Fitout &amp;MEP trước để kịp tiến độ bàn giao_x000a_3/ Fur : chờ TK của cdt xong, gửi đầu bài để lên BOQ _x000a_&gt;&gt; chào thi công _x000a_(dự kiến : 800,000,000 Hoàn thiện)"/>
    <m/>
  </r>
  <r>
    <n v="6"/>
    <x v="2"/>
    <x v="9"/>
    <s v="Anh Tùng"/>
    <m/>
    <n v="2900000000"/>
    <n v="0.25"/>
    <s v="Tháng 7"/>
    <x v="2"/>
    <s v="Reference"/>
    <n v="0.5"/>
    <s v="Đã gửi Dự toán : 22/05_x000a_CĐT đang xây thô "/>
    <m/>
  </r>
  <r>
    <n v="7"/>
    <x v="2"/>
    <x v="9"/>
    <s v="Anh Nghĩa S8 (Biệt thự Đà Nẵng)"/>
    <m/>
    <n v="500000000"/>
    <n v="0.25"/>
    <s v="Tháng 7"/>
    <x v="2"/>
    <s v="Partner"/>
    <n v="0.7"/>
    <s v="Khách hàng đã gửi 3D,.2D : 22/05_x000a_Gửi Dự toán cho CĐT : 19/06/206"/>
    <m/>
  </r>
  <r>
    <n v="8"/>
    <x v="2"/>
    <x v="9"/>
    <s v="Khách sạn chị Trang HP"/>
    <m/>
    <n v="800000000"/>
    <n v="0.25"/>
    <s v="Tháng 7"/>
    <x v="2"/>
    <s v="Customer"/>
    <n v="0.5"/>
    <s v="Khách hàng đã gửi 3D : Khu sảnh lobby, lễ tân &amp; Nhà Hàng _x000a_Đã gửi Khái Toán : 28/05_x000a_điều chỉnh lại dự toán cân đối theo mức CĐT đầu tư 600 tr_x000a_17/06"/>
    <m/>
  </r>
  <r>
    <n v="9"/>
    <x v="2"/>
    <x v="9"/>
    <s v="Hóa dầu Quảng Ninh"/>
    <m/>
    <n v="5000000000"/>
    <n v="0.25"/>
    <s v="Tháng 7"/>
    <x v="2"/>
    <s v="Holding"/>
    <n v="0.9"/>
    <s v="16/6 đi khảo sát, đang ra bản vẽ SOP và điều chỉnh lại báo giá gửi CĐT, bỏ hạng mục Thảm vì CĐT tự cung cấp"/>
    <m/>
  </r>
  <r>
    <n v="10"/>
    <x v="2"/>
    <x v="9"/>
    <s v="Anh Trường (Long Biên)"/>
    <m/>
    <n v="250000000"/>
    <n v="0.25"/>
    <s v="Tháng 7"/>
    <x v="2"/>
    <s v="Facebook"/>
    <n v="0.5"/>
    <s v="đã gửi TK, chờ CĐT chốt, nếu khách hàng chốt sẽ chuyển BU1 Triển khai (CĐT đã đặt cọc tiền tk)"/>
    <m/>
  </r>
  <r>
    <n v="11"/>
    <x v="2"/>
    <x v="9"/>
    <s v="Anh Vũ (Yên Hòa)"/>
    <m/>
    <n v="200000000"/>
    <n v="0.2"/>
    <s v="Tháng 6"/>
    <x v="1"/>
    <s v="Customer"/>
    <n v="0.5"/>
    <s v="Đã khảo sát, đang chỉnh sửa lị thiết kế gửi khách"/>
    <m/>
  </r>
  <r>
    <s v="IV"/>
    <x v="3"/>
    <x v="0"/>
    <m/>
    <m/>
    <n v="236820000000"/>
    <m/>
    <m/>
    <x v="0"/>
    <m/>
    <m/>
    <m/>
    <m/>
  </r>
  <r>
    <n v="1"/>
    <x v="3"/>
    <x v="10"/>
    <s v="Anh Phú The Charm"/>
    <m/>
    <n v="300000000"/>
    <n v="0.21"/>
    <s v="Tuần 1 tháng 7"/>
    <x v="2"/>
    <s v="MKT"/>
    <n v="0.9"/>
    <s v="Đã ký HĐ khung, đang triển khai 3D, dự kiến đầu tháng 7 chuyển đổi thi công"/>
    <m/>
  </r>
  <r>
    <n v="2"/>
    <x v="3"/>
    <x v="10"/>
    <s v="Anh Minh"/>
    <m/>
    <n v="130000000"/>
    <n v="0.22"/>
    <s v="28/06/2026"/>
    <x v="1"/>
    <s v="MKT"/>
    <n v="0.85"/>
    <s v="Đã ký HĐTK. KH đã chốt 3D. _x000a_KH đang cân đối giá "/>
    <m/>
  </r>
  <r>
    <n v="3"/>
    <x v="3"/>
    <x v="11"/>
    <s v="Thiết kế nhà a Hân - Thái Nguyên"/>
    <m/>
    <n v="80000000"/>
    <n v="0.2"/>
    <s v="Tháng 7"/>
    <x v="2"/>
    <s v="Sale tự kiếm"/>
    <n v="0.7"/>
    <s v="Đang tư vấn thiết kế sơ bộ, khách chưa làm đk thủ tục chuyển nhượng đất"/>
    <m/>
  </r>
  <r>
    <n v="4"/>
    <x v="3"/>
    <x v="11"/>
    <s v="Booyoung - Campuchia"/>
    <m/>
    <n v="30000000000"/>
    <n v="0.18"/>
    <s v="Tháng 7"/>
    <x v="2"/>
    <s v="Đối tác"/>
    <n v="0.8"/>
    <s v="Đang triển khai Hợp đồng đặt hàng mẫu (lần 2) vs thầu mới"/>
    <m/>
  </r>
  <r>
    <n v="5"/>
    <x v="3"/>
    <x v="12"/>
    <s v="Chị Trang Timecity"/>
    <m/>
    <n v="95000000"/>
    <n v="0.23"/>
    <s v="28/06/2026"/>
    <x v="1"/>
    <s v="MKT"/>
    <n v="0.6"/>
    <s v="25/5 KH đã ký hợp đồng thiết kế_x000a_Đã chốt 3D, đang điều chỉnh HSKT."/>
    <m/>
  </r>
  <r>
    <n v="6"/>
    <x v="3"/>
    <x v="10"/>
    <s v="Anh Ngọc"/>
    <m/>
    <n v="100000000"/>
    <n v="0.2"/>
    <s v="26/06/2026"/>
    <x v="1"/>
    <s v="MKT"/>
    <n v="0.7"/>
    <s v="Đã chốt 3D, đang triển khai HSKT"/>
    <m/>
  </r>
  <r>
    <n v="7"/>
    <x v="3"/>
    <x v="11"/>
    <s v="HDB Thanh Trì"/>
    <m/>
    <n v="60000000000"/>
    <n v="0.08"/>
    <s v="Tháng 7"/>
    <x v="2"/>
    <s v="Đối tác"/>
    <n v="0.8"/>
    <s v="19/06 đã đi gặp CĐT (sếp Trung, sếp Thuân đi cùng)_x000a_Đang điều chỉnh giá"/>
    <m/>
  </r>
  <r>
    <n v="8"/>
    <x v="3"/>
    <x v="11"/>
    <s v="Cụm 36 Biệt thự Ecopark"/>
    <m/>
    <n v="60000000000"/>
    <n v="0.15"/>
    <s v="Tuần 1 tháng 7"/>
    <x v="2"/>
    <s v="Tự kiếm"/>
    <n v="0.8"/>
    <s v="20/06 đang làm việc lại về tiến độ phần thô. Tuần 4 tháng 6 họp trao đổi về Hợp đồng."/>
    <m/>
  </r>
  <r>
    <n v="9"/>
    <x v="3"/>
    <x v="12"/>
    <s v="Minh Châu"/>
    <m/>
    <n v="115000000"/>
    <n v="0.25"/>
    <s v="29/06/2026"/>
    <x v="1"/>
    <s v="MKT"/>
    <n v="0.8"/>
    <s v="Đã chốt 3D, đang đợi ván nên lùi lịch ký PL Thi công đến cuối tháng 6"/>
    <m/>
  </r>
  <r>
    <n v="10"/>
    <x v="3"/>
    <x v="11"/>
    <s v="Nội thất 328 căn Chung cư Ecopark Sông Lam"/>
    <m/>
    <n v="80000000000"/>
    <n v="0.15"/>
    <s v="Tháng 8"/>
    <x v="2"/>
    <s v="Tự kiếm"/>
    <n v="0.8"/>
    <s v="29/05/2026 vào gặp chủ đầu tư với sếp Trung và sếp Thuân"/>
    <m/>
  </r>
  <r>
    <n v="11"/>
    <x v="3"/>
    <x v="11"/>
    <s v="Bệnh viện Thạch Thất"/>
    <m/>
    <n v="6000000000"/>
    <n v="0.08"/>
    <s v="Tháng 7"/>
    <x v="2"/>
    <s v="Đối tác"/>
    <n v="0.8"/>
    <s v="Triển khai trước phần ép cọc."/>
    <m/>
  </r>
  <r>
    <m/>
    <x v="4"/>
    <x v="0"/>
    <m/>
    <m/>
    <n v="282223000000"/>
    <m/>
    <m/>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B5B98-2060-4E95-B025-03590078A4D8}"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3:D14" firstHeaderRow="1" firstDataRow="1" firstDataCol="2"/>
  <pivotFields count="13">
    <pivotField compact="0" showAll="0"/>
    <pivotField axis="axisRow" compact="0" showAll="0" sortType="descending">
      <items count="9">
        <item x="1"/>
        <item x="2"/>
        <item x="3"/>
        <item x="0"/>
        <item m="1" x="7"/>
        <item x="4"/>
        <item m="1" x="6"/>
        <item m="1" x="5"/>
        <item t="default"/>
      </items>
      <autoSortScope>
        <pivotArea dataOnly="0" outline="0" fieldPosition="0">
          <references count="1">
            <reference field="4294967294" count="1" selected="0">
              <x v="0"/>
            </reference>
          </references>
        </pivotArea>
      </autoSortScope>
    </pivotField>
    <pivotField axis="axisRow" compact="0" showAll="0" sortType="descending">
      <items count="31">
        <item m="1" x="14"/>
        <item x="10"/>
        <item m="1" x="23"/>
        <item m="1" x="26"/>
        <item x="2"/>
        <item x="11"/>
        <item m="1" x="24"/>
        <item m="1" x="25"/>
        <item m="1" x="27"/>
        <item x="5"/>
        <item x="1"/>
        <item m="1" x="15"/>
        <item m="1" x="29"/>
        <item m="1" x="18"/>
        <item m="1" x="28"/>
        <item m="1" x="20"/>
        <item x="0"/>
        <item m="1" x="19"/>
        <item m="1" x="21"/>
        <item x="7"/>
        <item m="1" x="22"/>
        <item m="1" x="16"/>
        <item x="3"/>
        <item m="1" x="17"/>
        <item x="9"/>
        <item x="4"/>
        <item x="12"/>
        <item x="6"/>
        <item x="8"/>
        <item m="1" x="13"/>
        <item t="default"/>
      </items>
      <autoSortScope>
        <pivotArea dataOnly="0" outline="0" fieldPosition="0">
          <references count="1">
            <reference field="4294967294" count="1" selected="0">
              <x v="0"/>
            </reference>
          </references>
        </pivotArea>
      </autoSortScope>
    </pivotField>
    <pivotField compact="0" showAll="0"/>
    <pivotField compact="0" outline="0" showAll="0"/>
    <pivotField dataField="1" compact="0" numFmtId="164" outline="0" showAll="0"/>
    <pivotField compact="0" outline="0" showAll="0"/>
    <pivotField compact="0" showAll="0"/>
    <pivotField compact="0" showAll="0">
      <items count="4">
        <item h="1" x="1"/>
        <item x="2"/>
        <item h="1" x="0"/>
        <item t="default"/>
      </items>
    </pivotField>
    <pivotField compact="0" showAll="0"/>
    <pivotField compact="0" showAll="0"/>
    <pivotField compact="0" showAll="0"/>
    <pivotField compact="0" outline="0" showAll="0"/>
  </pivotFields>
  <rowFields count="2">
    <field x="1"/>
    <field x="2"/>
  </rowFields>
  <rowItems count="11">
    <i>
      <x v="2"/>
    </i>
    <i r="1">
      <x v="5"/>
    </i>
    <i r="1">
      <x v="1"/>
    </i>
    <i>
      <x/>
    </i>
    <i r="1">
      <x v="25"/>
    </i>
    <i r="1">
      <x v="22"/>
    </i>
    <i r="1">
      <x v="4"/>
    </i>
    <i r="1">
      <x v="9"/>
    </i>
    <i>
      <x v="1"/>
    </i>
    <i r="1">
      <x v="24"/>
    </i>
    <i t="grand">
      <x/>
    </i>
  </rowItems>
  <colItems count="1">
    <i/>
  </colItems>
  <dataFields count="1">
    <dataField name=" Doanh số dự kiến ký" fld="5" baseField="0" baseItem="0" numFmtId="164"/>
  </dataFields>
  <formats count="16">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field="2" type="button" dataOnly="0" labelOnly="1" outline="0" axis="axisRow" fieldPosition="1"/>
    </format>
    <format dxfId="29">
      <pivotArea dataOnly="0" labelOnly="1" grandRow="1" outline="0" fieldPosition="0"/>
    </format>
    <format dxfId="28">
      <pivotArea dataOnly="0" labelOnly="1" outline="0" axis="axisValues"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grandRow="1" outline="0" fieldPosition="0"/>
    </format>
    <format dxfId="23">
      <pivotArea field="1" type="button" dataOnly="0" labelOnly="1" outline="0" axis="axisRow" fieldPosition="0"/>
    </format>
    <format dxfId="22">
      <pivotArea field="2" type="button" dataOnly="0" labelOnly="1" outline="0" axis="axisRow" fieldPosition="1"/>
    </format>
    <format dxfId="21">
      <pivotArea dataOnly="0" labelOnly="1" outline="0" axis="axisValues" fieldPosition="0"/>
    </format>
    <format dxfId="20">
      <pivotArea field="1" type="button" dataOnly="0" labelOnly="1" outline="0" axis="axisRow" fieldPosition="0"/>
    </format>
    <format dxfId="19">
      <pivotArea field="2" type="button" dataOnly="0" labelOnly="1" outline="0" axis="axisRow" fieldPosition="1"/>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ạng_thái" xr10:uid="{E27EFB44-2110-49B9-A113-CD07E6F11170}" sourceName="Trạng thái">
  <pivotTables>
    <pivotTable tabId="6" name="PivotTable1"/>
  </pivotTables>
  <data>
    <tabular pivotCacheId="1568755218">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ạng thái" xr10:uid="{9EDE91CF-C93F-4706-8AF0-91C683A56668}" cache="Slicer_Trạng_thái" caption="Trạng thái"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3:M54" totalsRowShown="0" headerRowDxfId="17" dataDxfId="15" headerRowBorderDxfId="16" tableBorderDxfId="14" totalsRowBorderDxfId="13">
  <autoFilter ref="A3:M54" xr:uid="{00000000-0009-0000-0100-000005000000}">
    <filterColumn colId="9">
      <filters>
        <filter val="Facebook"/>
        <filter val="MKT"/>
        <filter val="WALK-IN"/>
      </filters>
    </filterColumn>
    <filterColumn colId="10">
      <filters blank="1">
        <filter val="100%"/>
        <filter val="50%"/>
        <filter val="60%"/>
        <filter val="70%"/>
        <filter val="80%"/>
        <filter val="85%"/>
      </filters>
    </filterColumn>
  </autoFilter>
  <tableColumns count="13">
    <tableColumn id="1" xr3:uid="{00000000-0010-0000-0000-000001000000}" name="STT" dataDxfId="12"/>
    <tableColumn id="2" xr3:uid="{00000000-0010-0000-0000-000002000000}" name="Phòng ban" dataDxfId="11"/>
    <tableColumn id="3" xr3:uid="{00000000-0010-0000-0000-000003000000}" name="Nhân viên" dataDxfId="10"/>
    <tableColumn id="4" xr3:uid="{00000000-0010-0000-0000-000004000000}" name="Khách hàng" dataDxfId="9"/>
    <tableColumn id="5" xr3:uid="{5682C788-4E13-4D00-AE71-99A0CE9107F4}" name="Đầu mối làm việc_x000a_(SĐT)" dataDxfId="8"/>
    <tableColumn id="12" xr3:uid="{2CF83ECE-3CD3-48FD-8820-02DB8F62181B}" name="Doanh số dự kiến ký" dataDxfId="7"/>
    <tableColumn id="13" xr3:uid="{7162C4C5-A5FF-4141-BC6C-08637B66FEDE}" name="Margin dự kiến" dataDxfId="6"/>
    <tableColumn id="6" xr3:uid="{00000000-0010-0000-0000-000006000000}" name="Thời gian dự kiến ký " dataDxfId="5"/>
    <tableColumn id="11" xr3:uid="{758AB0AB-3A74-4F15-820C-C43EB7995AC2}" name="Trạng thái" dataDxfId="4"/>
    <tableColumn id="7" xr3:uid="{00000000-0010-0000-0000-000007000000}" name="Nguồn lead" dataDxfId="3"/>
    <tableColumn id="8" xr3:uid="{00000000-0010-0000-0000-000008000000}" name="Mức độ tiềm năng" dataDxfId="2"/>
    <tableColumn id="9" xr3:uid="{00000000-0010-0000-0000-000009000000}" name="Tình trạng chăm lead" dataDxfId="1"/>
    <tableColumn id="10" xr3:uid="{00000000-0010-0000-0000-00000A000000}" name="Đề xuất Hỗ trợ từ BGĐ"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85EE-A618-417D-9608-F4D64537AFD0}">
  <dimension ref="B3:L42"/>
  <sheetViews>
    <sheetView workbookViewId="0">
      <selection activeCell="M13" sqref="M13"/>
    </sheetView>
  </sheetViews>
  <sheetFormatPr defaultRowHeight="14.25" x14ac:dyDescent="0.2"/>
  <cols>
    <col min="2" max="2" width="12.875" customWidth="1"/>
    <col min="3" max="3" width="18.75" customWidth="1"/>
    <col min="4" max="4" width="23" customWidth="1"/>
    <col min="7" max="7" width="15.875" customWidth="1"/>
    <col min="8" max="8" width="18.625" customWidth="1"/>
  </cols>
  <sheetData>
    <row r="3" spans="2:7" ht="15" customHeight="1" x14ac:dyDescent="0.2">
      <c r="B3" s="13" t="s">
        <v>0</v>
      </c>
      <c r="C3" s="13" t="s">
        <v>1</v>
      </c>
      <c r="D3" s="14" t="s">
        <v>2</v>
      </c>
    </row>
    <row r="4" spans="2:7" x14ac:dyDescent="0.2">
      <c r="B4" s="15" t="s">
        <v>3</v>
      </c>
      <c r="C4" s="15"/>
      <c r="D4" s="16">
        <v>236380000000</v>
      </c>
    </row>
    <row r="5" spans="2:7" x14ac:dyDescent="0.2">
      <c r="B5" s="15"/>
      <c r="C5" s="15" t="s">
        <v>4</v>
      </c>
      <c r="D5" s="16">
        <v>236080000000</v>
      </c>
    </row>
    <row r="6" spans="2:7" x14ac:dyDescent="0.2">
      <c r="B6" s="15"/>
      <c r="C6" s="15" t="s">
        <v>5</v>
      </c>
      <c r="D6" s="16">
        <v>300000000</v>
      </c>
    </row>
    <row r="7" spans="2:7" x14ac:dyDescent="0.2">
      <c r="B7" s="15" t="s">
        <v>6</v>
      </c>
      <c r="C7" s="15"/>
      <c r="D7" s="16">
        <v>17000000000</v>
      </c>
    </row>
    <row r="8" spans="2:7" x14ac:dyDescent="0.2">
      <c r="B8" s="15"/>
      <c r="C8" s="15" t="s">
        <v>7</v>
      </c>
      <c r="D8" s="16">
        <v>8000000000</v>
      </c>
    </row>
    <row r="9" spans="2:7" x14ac:dyDescent="0.2">
      <c r="B9" s="15"/>
      <c r="C9" s="15" t="s">
        <v>8</v>
      </c>
      <c r="D9" s="16">
        <v>7000000000</v>
      </c>
    </row>
    <row r="10" spans="2:7" x14ac:dyDescent="0.2">
      <c r="B10" s="15"/>
      <c r="C10" s="15" t="s">
        <v>9</v>
      </c>
      <c r="D10" s="16">
        <v>1500000000</v>
      </c>
    </row>
    <row r="11" spans="2:7" x14ac:dyDescent="0.2">
      <c r="B11" s="15"/>
      <c r="C11" s="15" t="s">
        <v>10</v>
      </c>
      <c r="D11" s="16">
        <v>500000000</v>
      </c>
    </row>
    <row r="12" spans="2:7" x14ac:dyDescent="0.2">
      <c r="B12" s="15" t="s">
        <v>11</v>
      </c>
      <c r="C12" s="15"/>
      <c r="D12" s="16">
        <v>9450000000</v>
      </c>
      <c r="G12" s="38"/>
    </row>
    <row r="13" spans="2:7" x14ac:dyDescent="0.2">
      <c r="B13" s="15"/>
      <c r="C13" s="15" t="s">
        <v>12</v>
      </c>
      <c r="D13" s="16">
        <v>9450000000</v>
      </c>
    </row>
    <row r="14" spans="2:7" x14ac:dyDescent="0.2">
      <c r="B14" s="15" t="s">
        <v>13</v>
      </c>
      <c r="C14" s="15"/>
      <c r="D14" s="16">
        <v>262830000000</v>
      </c>
    </row>
    <row r="26" spans="8:8" x14ac:dyDescent="0.2">
      <c r="H26" s="38"/>
    </row>
    <row r="42" spans="12:12" x14ac:dyDescent="0.2">
      <c r="L42" t="s">
        <v>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zoomScale="70" zoomScaleNormal="70" workbookViewId="0">
      <pane xSplit="2" ySplit="3" topLeftCell="C38" activePane="bottomRight" state="frozen"/>
      <selection pane="topRight"/>
      <selection pane="bottomLeft"/>
      <selection pane="bottomRight" activeCell="I50" sqref="I50"/>
    </sheetView>
  </sheetViews>
  <sheetFormatPr defaultColWidth="9.125" defaultRowHeight="16.5" x14ac:dyDescent="0.2"/>
  <cols>
    <col min="1" max="1" width="9.125" style="21" customWidth="1"/>
    <col min="2" max="2" width="14.375" style="22" customWidth="1"/>
    <col min="3" max="3" width="23.125" style="21" customWidth="1"/>
    <col min="4" max="4" width="35.625" style="21" customWidth="1"/>
    <col min="5" max="5" width="24.875" style="21" hidden="1" customWidth="1"/>
    <col min="6" max="6" width="22.75" style="21" customWidth="1"/>
    <col min="7" max="7" width="18.875" style="59" customWidth="1"/>
    <col min="8" max="8" width="15.875" style="22" customWidth="1"/>
    <col min="9" max="9" width="23.375" style="21" customWidth="1"/>
    <col min="10" max="10" width="23" style="22" customWidth="1"/>
    <col min="11" max="11" width="16.625" style="21" customWidth="1"/>
    <col min="12" max="12" width="85.25" style="21" customWidth="1"/>
    <col min="13" max="13" width="24" style="37" customWidth="1"/>
    <col min="14" max="16384" width="9.125" style="21"/>
  </cols>
  <sheetData>
    <row r="1" spans="1:15" ht="33.75" hidden="1" customHeight="1" x14ac:dyDescent="0.2">
      <c r="A1" s="97" t="s">
        <v>15</v>
      </c>
      <c r="B1" s="97"/>
      <c r="C1" s="97"/>
      <c r="D1" s="97"/>
      <c r="E1" s="97"/>
      <c r="F1" s="97"/>
      <c r="G1" s="97"/>
      <c r="H1" s="97"/>
      <c r="I1" s="97"/>
      <c r="J1" s="97"/>
      <c r="K1" s="97"/>
      <c r="L1" s="97"/>
      <c r="M1" s="97"/>
    </row>
    <row r="2" spans="1:15" ht="8.25" hidden="1" customHeight="1" x14ac:dyDescent="0.2">
      <c r="G2" s="44"/>
      <c r="H2" s="27"/>
      <c r="J2" s="21"/>
    </row>
    <row r="3" spans="1:15" ht="54" customHeight="1" x14ac:dyDescent="0.2">
      <c r="A3" s="17" t="s">
        <v>16</v>
      </c>
      <c r="B3" s="18" t="s">
        <v>0</v>
      </c>
      <c r="C3" s="19" t="s">
        <v>1</v>
      </c>
      <c r="D3" s="19" t="s">
        <v>17</v>
      </c>
      <c r="E3" s="19" t="s">
        <v>18</v>
      </c>
      <c r="F3" s="19" t="s">
        <v>19</v>
      </c>
      <c r="G3" s="45" t="s">
        <v>20</v>
      </c>
      <c r="H3" s="19" t="s">
        <v>21</v>
      </c>
      <c r="I3" s="19" t="s">
        <v>22</v>
      </c>
      <c r="J3" s="19" t="s">
        <v>23</v>
      </c>
      <c r="K3" s="19" t="s">
        <v>24</v>
      </c>
      <c r="L3" s="19" t="s">
        <v>25</v>
      </c>
      <c r="M3" s="20" t="s">
        <v>26</v>
      </c>
    </row>
    <row r="4" spans="1:15" s="23" customFormat="1" ht="22.5" customHeight="1" x14ac:dyDescent="0.2">
      <c r="A4" s="9" t="s">
        <v>27</v>
      </c>
      <c r="B4" s="6" t="s">
        <v>28</v>
      </c>
      <c r="C4" s="7"/>
      <c r="D4" s="7"/>
      <c r="E4" s="7"/>
      <c r="F4" s="8">
        <f>+SUBTOTAL(9,F5:F8)</f>
        <v>3800000000</v>
      </c>
      <c r="G4" s="46"/>
      <c r="H4" s="6"/>
      <c r="I4" s="6"/>
      <c r="J4" s="6"/>
      <c r="K4" s="6"/>
      <c r="L4" s="7"/>
      <c r="M4" s="34"/>
    </row>
    <row r="5" spans="1:15" ht="59.25" customHeight="1" x14ac:dyDescent="0.2">
      <c r="A5" s="3">
        <v>1</v>
      </c>
      <c r="B5" s="4" t="s">
        <v>28</v>
      </c>
      <c r="C5" s="48" t="s">
        <v>29</v>
      </c>
      <c r="D5" s="1" t="s">
        <v>30</v>
      </c>
      <c r="E5" s="1" t="s">
        <v>31</v>
      </c>
      <c r="F5" s="2">
        <v>2000000000</v>
      </c>
      <c r="G5" s="12">
        <v>0.2</v>
      </c>
      <c r="H5" s="39" t="s">
        <v>32</v>
      </c>
      <c r="I5" s="4" t="s">
        <v>33</v>
      </c>
      <c r="J5" s="4" t="s">
        <v>34</v>
      </c>
      <c r="K5" s="12">
        <v>0.6</v>
      </c>
      <c r="L5" s="1" t="s">
        <v>35</v>
      </c>
      <c r="M5" s="35" t="s">
        <v>36</v>
      </c>
    </row>
    <row r="6" spans="1:15" ht="40.5" customHeight="1" x14ac:dyDescent="0.2">
      <c r="A6" s="3">
        <v>2</v>
      </c>
      <c r="B6" s="4" t="s">
        <v>28</v>
      </c>
      <c r="C6" s="48" t="s">
        <v>29</v>
      </c>
      <c r="D6" s="1" t="s">
        <v>37</v>
      </c>
      <c r="E6" s="1"/>
      <c r="F6" s="2">
        <v>500000000</v>
      </c>
      <c r="G6" s="12">
        <v>0.2</v>
      </c>
      <c r="H6" s="39" t="s">
        <v>38</v>
      </c>
      <c r="I6" s="4" t="s">
        <v>39</v>
      </c>
      <c r="J6" s="4" t="s">
        <v>34</v>
      </c>
      <c r="K6" s="12">
        <v>0.7</v>
      </c>
      <c r="L6" s="1" t="s">
        <v>40</v>
      </c>
      <c r="M6" s="35" t="s">
        <v>41</v>
      </c>
    </row>
    <row r="7" spans="1:15" ht="40.5" customHeight="1" x14ac:dyDescent="0.2">
      <c r="A7" s="3">
        <v>3</v>
      </c>
      <c r="B7" s="4" t="s">
        <v>28</v>
      </c>
      <c r="C7" s="48" t="s">
        <v>29</v>
      </c>
      <c r="D7" s="1" t="s">
        <v>42</v>
      </c>
      <c r="E7" s="1"/>
      <c r="F7" s="2">
        <v>800000000</v>
      </c>
      <c r="G7" s="12">
        <v>0.19</v>
      </c>
      <c r="H7" s="39" t="s">
        <v>38</v>
      </c>
      <c r="I7" s="4" t="s">
        <v>39</v>
      </c>
      <c r="J7" s="4" t="s">
        <v>34</v>
      </c>
      <c r="K7" s="12">
        <v>0.7</v>
      </c>
      <c r="L7" s="1" t="s">
        <v>43</v>
      </c>
      <c r="M7" s="35" t="s">
        <v>41</v>
      </c>
      <c r="N7" s="26"/>
      <c r="O7" s="26"/>
    </row>
    <row r="8" spans="1:15" ht="40.5" customHeight="1" x14ac:dyDescent="0.2">
      <c r="A8" s="3">
        <v>4</v>
      </c>
      <c r="B8" s="4" t="s">
        <v>28</v>
      </c>
      <c r="C8" s="11" t="s">
        <v>44</v>
      </c>
      <c r="D8" s="1" t="s">
        <v>45</v>
      </c>
      <c r="E8" s="1"/>
      <c r="F8" s="2">
        <v>500000000</v>
      </c>
      <c r="G8" s="12">
        <v>0.19</v>
      </c>
      <c r="H8" s="39" t="s">
        <v>46</v>
      </c>
      <c r="I8" s="4" t="s">
        <v>33</v>
      </c>
      <c r="J8" s="4" t="s">
        <v>47</v>
      </c>
      <c r="K8" s="12">
        <v>0.6</v>
      </c>
      <c r="L8" s="1" t="s">
        <v>48</v>
      </c>
      <c r="M8" s="35" t="s">
        <v>41</v>
      </c>
      <c r="N8" s="26"/>
      <c r="O8" s="26"/>
    </row>
    <row r="9" spans="1:15" s="25" customFormat="1" ht="23.25" customHeight="1" x14ac:dyDescent="0.2">
      <c r="A9" s="5" t="s">
        <v>49</v>
      </c>
      <c r="B9" s="6" t="s">
        <v>6</v>
      </c>
      <c r="C9" s="50"/>
      <c r="D9" s="7"/>
      <c r="E9" s="7"/>
      <c r="F9" s="8">
        <f>+SUBTOTAL(9,F10:F31)</f>
        <v>26813000000</v>
      </c>
      <c r="G9" s="46"/>
      <c r="H9" s="40"/>
      <c r="I9" s="6"/>
      <c r="J9" s="6"/>
      <c r="K9" s="6"/>
      <c r="L9" s="7"/>
      <c r="M9" s="34"/>
    </row>
    <row r="10" spans="1:15" ht="40.5" customHeight="1" x14ac:dyDescent="0.2">
      <c r="A10" s="10">
        <v>1</v>
      </c>
      <c r="B10" s="4" t="s">
        <v>6</v>
      </c>
      <c r="C10" s="51" t="s">
        <v>9</v>
      </c>
      <c r="D10" s="1" t="s">
        <v>50</v>
      </c>
      <c r="E10" s="1"/>
      <c r="F10" s="2">
        <v>500000000</v>
      </c>
      <c r="G10" s="12">
        <v>0.3</v>
      </c>
      <c r="H10" s="39" t="s">
        <v>46</v>
      </c>
      <c r="I10" s="4" t="s">
        <v>33</v>
      </c>
      <c r="J10" s="4" t="s">
        <v>47</v>
      </c>
      <c r="K10" s="12">
        <v>0.6</v>
      </c>
      <c r="L10" s="1" t="s">
        <v>51</v>
      </c>
      <c r="M10" s="35" t="s">
        <v>41</v>
      </c>
      <c r="N10" s="24"/>
    </row>
    <row r="11" spans="1:15" ht="36" customHeight="1" x14ac:dyDescent="0.2">
      <c r="A11" s="10">
        <v>2</v>
      </c>
      <c r="B11" s="4" t="s">
        <v>6</v>
      </c>
      <c r="C11" s="51" t="s">
        <v>9</v>
      </c>
      <c r="D11" s="1" t="s">
        <v>52</v>
      </c>
      <c r="E11" s="1"/>
      <c r="F11" s="2">
        <v>1000000000</v>
      </c>
      <c r="G11" s="12">
        <v>0.25</v>
      </c>
      <c r="H11" s="39" t="s">
        <v>46</v>
      </c>
      <c r="I11" s="4" t="s">
        <v>33</v>
      </c>
      <c r="J11" s="4" t="s">
        <v>47</v>
      </c>
      <c r="K11" s="12">
        <v>0.6</v>
      </c>
      <c r="L11" s="1" t="s">
        <v>53</v>
      </c>
      <c r="M11" s="35" t="s">
        <v>41</v>
      </c>
      <c r="N11" s="24"/>
    </row>
    <row r="12" spans="1:15" ht="36" customHeight="1" x14ac:dyDescent="0.2">
      <c r="A12" s="3">
        <v>3</v>
      </c>
      <c r="B12" s="4" t="s">
        <v>6</v>
      </c>
      <c r="C12" s="51" t="s">
        <v>9</v>
      </c>
      <c r="D12" s="1" t="s">
        <v>54</v>
      </c>
      <c r="E12" s="2">
        <v>1000000000</v>
      </c>
      <c r="F12" s="2">
        <v>120000000</v>
      </c>
      <c r="G12" s="12">
        <v>0.3</v>
      </c>
      <c r="H12" s="39">
        <v>46209</v>
      </c>
      <c r="I12" s="4" t="s">
        <v>39</v>
      </c>
      <c r="J12" s="4" t="s">
        <v>47</v>
      </c>
      <c r="K12" s="12">
        <v>0.8</v>
      </c>
      <c r="L12" s="1" t="s">
        <v>55</v>
      </c>
      <c r="M12" s="35"/>
      <c r="N12" s="24"/>
    </row>
    <row r="13" spans="1:15" ht="75.75" customHeight="1" x14ac:dyDescent="0.2">
      <c r="A13" s="3">
        <v>3</v>
      </c>
      <c r="B13" s="4" t="s">
        <v>6</v>
      </c>
      <c r="C13" s="51" t="s">
        <v>9</v>
      </c>
      <c r="D13" s="1" t="s">
        <v>56</v>
      </c>
      <c r="E13" s="2">
        <v>1000000000</v>
      </c>
      <c r="F13" s="2">
        <v>400000000</v>
      </c>
      <c r="G13" s="12">
        <v>0.3</v>
      </c>
      <c r="H13" s="39" t="s">
        <v>46</v>
      </c>
      <c r="I13" s="4" t="s">
        <v>39</v>
      </c>
      <c r="J13" s="4" t="s">
        <v>47</v>
      </c>
      <c r="K13" s="12">
        <v>0.7</v>
      </c>
      <c r="L13" s="1" t="s">
        <v>57</v>
      </c>
      <c r="M13" s="35"/>
      <c r="N13" s="24"/>
    </row>
    <row r="14" spans="1:15" ht="39" customHeight="1" x14ac:dyDescent="0.2">
      <c r="A14" s="56">
        <v>4</v>
      </c>
      <c r="B14" s="4" t="s">
        <v>6</v>
      </c>
      <c r="C14" s="51" t="s">
        <v>8</v>
      </c>
      <c r="D14" s="1" t="s">
        <v>58</v>
      </c>
      <c r="E14" s="1"/>
      <c r="F14" s="2">
        <v>900000000</v>
      </c>
      <c r="G14" s="12">
        <v>0.2</v>
      </c>
      <c r="H14" s="39" t="s">
        <v>46</v>
      </c>
      <c r="I14" s="4" t="s">
        <v>33</v>
      </c>
      <c r="J14" s="4" t="s">
        <v>59</v>
      </c>
      <c r="K14" s="12">
        <v>0.7</v>
      </c>
      <c r="L14" s="1" t="s">
        <v>60</v>
      </c>
      <c r="M14" s="35" t="s">
        <v>41</v>
      </c>
      <c r="N14" s="24"/>
    </row>
    <row r="15" spans="1:15" ht="62.25" customHeight="1" x14ac:dyDescent="0.2">
      <c r="A15" s="56">
        <v>5</v>
      </c>
      <c r="B15" s="4" t="s">
        <v>6</v>
      </c>
      <c r="C15" s="51" t="s">
        <v>7</v>
      </c>
      <c r="D15" s="1" t="s">
        <v>61</v>
      </c>
      <c r="E15" s="1"/>
      <c r="F15" s="2">
        <v>8000000000</v>
      </c>
      <c r="G15" s="12">
        <v>0.15</v>
      </c>
      <c r="H15" s="39" t="s">
        <v>46</v>
      </c>
      <c r="I15" s="4" t="s">
        <v>33</v>
      </c>
      <c r="J15" s="4" t="s">
        <v>62</v>
      </c>
      <c r="K15" s="12">
        <v>0.5</v>
      </c>
      <c r="L15" s="1" t="s">
        <v>63</v>
      </c>
      <c r="M15" s="35" t="s">
        <v>64</v>
      </c>
      <c r="N15" s="24"/>
    </row>
    <row r="16" spans="1:15" ht="51" customHeight="1" x14ac:dyDescent="0.2">
      <c r="A16" s="10">
        <v>6</v>
      </c>
      <c r="B16" s="4" t="s">
        <v>6</v>
      </c>
      <c r="C16" s="51" t="s">
        <v>8</v>
      </c>
      <c r="D16" s="11" t="s">
        <v>65</v>
      </c>
      <c r="E16" s="1"/>
      <c r="F16" s="2">
        <v>600000000</v>
      </c>
      <c r="G16" s="12">
        <v>0.18</v>
      </c>
      <c r="H16" s="39" t="s">
        <v>66</v>
      </c>
      <c r="I16" s="4" t="s">
        <v>33</v>
      </c>
      <c r="J16" s="4" t="s">
        <v>59</v>
      </c>
      <c r="K16" s="12">
        <v>0.6</v>
      </c>
      <c r="L16" s="1" t="s">
        <v>67</v>
      </c>
      <c r="M16" s="35" t="s">
        <v>41</v>
      </c>
      <c r="N16" s="24"/>
    </row>
    <row r="17" spans="1:14" ht="27.75" customHeight="1" x14ac:dyDescent="0.2">
      <c r="A17" s="10">
        <v>7</v>
      </c>
      <c r="B17" s="4" t="s">
        <v>6</v>
      </c>
      <c r="C17" s="51" t="s">
        <v>10</v>
      </c>
      <c r="D17" s="1" t="s">
        <v>68</v>
      </c>
      <c r="E17" s="1"/>
      <c r="F17" s="2">
        <v>500000000</v>
      </c>
      <c r="G17" s="12">
        <v>0.2</v>
      </c>
      <c r="H17" s="39" t="s">
        <v>46</v>
      </c>
      <c r="I17" s="4" t="s">
        <v>33</v>
      </c>
      <c r="J17" s="4" t="s">
        <v>47</v>
      </c>
      <c r="K17" s="12">
        <v>0.7</v>
      </c>
      <c r="L17" s="1" t="s">
        <v>69</v>
      </c>
      <c r="M17" s="35" t="s">
        <v>41</v>
      </c>
      <c r="N17" s="24"/>
    </row>
    <row r="18" spans="1:14" s="70" customFormat="1" ht="29.25" customHeight="1" x14ac:dyDescent="0.2">
      <c r="A18" s="71">
        <v>8</v>
      </c>
      <c r="B18" s="63" t="s">
        <v>6</v>
      </c>
      <c r="C18" s="72" t="s">
        <v>70</v>
      </c>
      <c r="D18" s="65" t="s">
        <v>71</v>
      </c>
      <c r="E18" s="1"/>
      <c r="F18" s="66">
        <v>500000000</v>
      </c>
      <c r="G18" s="67">
        <v>0.2</v>
      </c>
      <c r="H18" s="80" t="s">
        <v>38</v>
      </c>
      <c r="I18" s="63" t="s">
        <v>39</v>
      </c>
      <c r="J18" s="63" t="s">
        <v>72</v>
      </c>
      <c r="K18" s="67">
        <v>0.7</v>
      </c>
      <c r="L18" s="65" t="s">
        <v>73</v>
      </c>
      <c r="M18" s="68" t="s">
        <v>41</v>
      </c>
      <c r="N18" s="69"/>
    </row>
    <row r="19" spans="1:14" ht="38.25" customHeight="1" x14ac:dyDescent="0.2">
      <c r="A19" s="10">
        <v>10</v>
      </c>
      <c r="B19" s="4" t="s">
        <v>6</v>
      </c>
      <c r="C19" s="51" t="s">
        <v>74</v>
      </c>
      <c r="D19" s="1" t="s">
        <v>75</v>
      </c>
      <c r="E19" s="1"/>
      <c r="F19" s="2">
        <v>150000000</v>
      </c>
      <c r="G19" s="12">
        <v>0.2</v>
      </c>
      <c r="H19" s="39" t="s">
        <v>46</v>
      </c>
      <c r="I19" s="4" t="s">
        <v>33</v>
      </c>
      <c r="J19" s="4" t="s">
        <v>47</v>
      </c>
      <c r="K19" s="12">
        <v>0.6</v>
      </c>
      <c r="L19" s="1" t="s">
        <v>76</v>
      </c>
      <c r="M19" s="35" t="s">
        <v>41</v>
      </c>
      <c r="N19" s="24"/>
    </row>
    <row r="20" spans="1:14" s="70" customFormat="1" ht="38.25" customHeight="1" x14ac:dyDescent="0.2">
      <c r="A20" s="62">
        <f>A19+1</f>
        <v>11</v>
      </c>
      <c r="B20" s="63" t="str">
        <f>B19</f>
        <v>BU 1</v>
      </c>
      <c r="C20" s="64" t="s">
        <v>74</v>
      </c>
      <c r="D20" s="65" t="s">
        <v>77</v>
      </c>
      <c r="E20" s="1"/>
      <c r="F20" s="66">
        <v>85000000</v>
      </c>
      <c r="G20" s="67">
        <v>0.2</v>
      </c>
      <c r="H20" s="63" t="s">
        <v>46</v>
      </c>
      <c r="I20" s="63" t="s">
        <v>33</v>
      </c>
      <c r="J20" s="63" t="s">
        <v>47</v>
      </c>
      <c r="K20" s="67">
        <v>0.9</v>
      </c>
      <c r="L20" s="65" t="s">
        <v>78</v>
      </c>
      <c r="M20" s="68"/>
      <c r="N20" s="69"/>
    </row>
    <row r="21" spans="1:14" s="26" customFormat="1" ht="42" customHeight="1" x14ac:dyDescent="0.2">
      <c r="A21" s="56">
        <v>12</v>
      </c>
      <c r="B21" s="53" t="s">
        <v>6</v>
      </c>
      <c r="C21" s="73" t="s">
        <v>74</v>
      </c>
      <c r="D21" s="74" t="s">
        <v>79</v>
      </c>
      <c r="E21" s="1"/>
      <c r="F21" s="75">
        <v>200000000</v>
      </c>
      <c r="G21" s="76">
        <v>0.2</v>
      </c>
      <c r="H21" s="77" t="s">
        <v>46</v>
      </c>
      <c r="I21" s="53" t="s">
        <v>33</v>
      </c>
      <c r="J21" s="53" t="s">
        <v>47</v>
      </c>
      <c r="K21" s="76">
        <v>0.7</v>
      </c>
      <c r="L21" s="74" t="s">
        <v>80</v>
      </c>
      <c r="M21" s="78" t="s">
        <v>41</v>
      </c>
      <c r="N21" s="79"/>
    </row>
    <row r="22" spans="1:14" ht="37.5" customHeight="1" x14ac:dyDescent="0.2">
      <c r="A22" s="10">
        <v>13</v>
      </c>
      <c r="B22" s="4" t="s">
        <v>6</v>
      </c>
      <c r="C22" s="51" t="s">
        <v>81</v>
      </c>
      <c r="D22" s="11" t="s">
        <v>82</v>
      </c>
      <c r="E22" s="1"/>
      <c r="F22" s="2">
        <v>300000000</v>
      </c>
      <c r="G22" s="12">
        <v>0.2</v>
      </c>
      <c r="H22" s="39" t="s">
        <v>46</v>
      </c>
      <c r="I22" s="4" t="s">
        <v>33</v>
      </c>
      <c r="J22" s="4" t="s">
        <v>47</v>
      </c>
      <c r="K22" s="12">
        <v>0.6</v>
      </c>
      <c r="L22" s="1" t="s">
        <v>83</v>
      </c>
      <c r="M22" s="35" t="s">
        <v>41</v>
      </c>
      <c r="N22" s="24"/>
    </row>
    <row r="23" spans="1:14" ht="37.5" customHeight="1" x14ac:dyDescent="0.2">
      <c r="A23" s="10">
        <v>14</v>
      </c>
      <c r="B23" s="4" t="s">
        <v>6</v>
      </c>
      <c r="C23" s="51" t="s">
        <v>81</v>
      </c>
      <c r="D23" s="1" t="s">
        <v>84</v>
      </c>
      <c r="E23" s="1"/>
      <c r="F23" s="2">
        <v>400000000</v>
      </c>
      <c r="G23" s="12">
        <v>0.2</v>
      </c>
      <c r="H23" s="39" t="s">
        <v>46</v>
      </c>
      <c r="I23" s="4" t="s">
        <v>33</v>
      </c>
      <c r="J23" s="4" t="s">
        <v>47</v>
      </c>
      <c r="K23" s="12">
        <v>0.5</v>
      </c>
      <c r="L23" s="1" t="s">
        <v>85</v>
      </c>
      <c r="M23" s="35" t="s">
        <v>41</v>
      </c>
      <c r="N23" s="24"/>
    </row>
    <row r="24" spans="1:14" ht="37.5" customHeight="1" x14ac:dyDescent="0.2">
      <c r="A24" s="10">
        <v>15</v>
      </c>
      <c r="B24" s="4" t="s">
        <v>6</v>
      </c>
      <c r="C24" s="51" t="s">
        <v>81</v>
      </c>
      <c r="D24" s="1" t="s">
        <v>86</v>
      </c>
      <c r="E24" s="1"/>
      <c r="F24" s="2">
        <v>500000000</v>
      </c>
      <c r="G24" s="12">
        <v>0.2</v>
      </c>
      <c r="H24" s="39" t="s">
        <v>46</v>
      </c>
      <c r="I24" s="4" t="s">
        <v>33</v>
      </c>
      <c r="J24" s="4" t="s">
        <v>87</v>
      </c>
      <c r="K24" s="12">
        <v>0.9</v>
      </c>
      <c r="L24" s="1" t="s">
        <v>88</v>
      </c>
      <c r="M24" s="35"/>
      <c r="N24" s="24"/>
    </row>
    <row r="25" spans="1:14" ht="58.5" customHeight="1" x14ac:dyDescent="0.2">
      <c r="A25" s="10">
        <v>15</v>
      </c>
      <c r="B25" s="4" t="s">
        <v>6</v>
      </c>
      <c r="C25" s="51" t="s">
        <v>8</v>
      </c>
      <c r="D25" s="1" t="s">
        <v>89</v>
      </c>
      <c r="E25" s="1"/>
      <c r="F25" s="2">
        <v>7000000000</v>
      </c>
      <c r="G25" s="12">
        <v>0.2</v>
      </c>
      <c r="H25" s="39" t="s">
        <v>46</v>
      </c>
      <c r="I25" s="4" t="s">
        <v>33</v>
      </c>
      <c r="J25" s="4" t="s">
        <v>47</v>
      </c>
      <c r="K25" s="12">
        <v>0.6</v>
      </c>
      <c r="L25" s="1" t="s">
        <v>90</v>
      </c>
      <c r="M25" s="35" t="s">
        <v>64</v>
      </c>
      <c r="N25" s="24"/>
    </row>
    <row r="26" spans="1:14" ht="39.75" customHeight="1" x14ac:dyDescent="0.2">
      <c r="A26" s="10">
        <v>16</v>
      </c>
      <c r="B26" s="4" t="s">
        <v>6</v>
      </c>
      <c r="C26" s="51" t="s">
        <v>8</v>
      </c>
      <c r="D26" s="1" t="s">
        <v>91</v>
      </c>
      <c r="E26" s="2">
        <v>400000000</v>
      </c>
      <c r="F26" s="2">
        <v>8000000</v>
      </c>
      <c r="G26" s="12">
        <v>0.2</v>
      </c>
      <c r="H26" s="39" t="s">
        <v>46</v>
      </c>
      <c r="I26" s="4" t="s">
        <v>33</v>
      </c>
      <c r="J26" s="4" t="s">
        <v>47</v>
      </c>
      <c r="K26" s="12">
        <v>0.9</v>
      </c>
      <c r="L26" s="1" t="s">
        <v>92</v>
      </c>
      <c r="M26" s="35" t="s">
        <v>41</v>
      </c>
      <c r="N26" s="24"/>
    </row>
    <row r="27" spans="1:14" ht="51" customHeight="1" x14ac:dyDescent="0.2">
      <c r="A27" s="10">
        <v>17</v>
      </c>
      <c r="B27" s="4" t="s">
        <v>6</v>
      </c>
      <c r="C27" s="51" t="s">
        <v>8</v>
      </c>
      <c r="D27" s="1" t="s">
        <v>56</v>
      </c>
      <c r="E27" s="2">
        <v>400000000</v>
      </c>
      <c r="F27" s="2">
        <v>1000000000</v>
      </c>
      <c r="G27" s="12">
        <v>0.2</v>
      </c>
      <c r="H27" s="39" t="s">
        <v>46</v>
      </c>
      <c r="I27" s="4" t="s">
        <v>33</v>
      </c>
      <c r="J27" s="4" t="s">
        <v>93</v>
      </c>
      <c r="K27" s="12">
        <v>0.5</v>
      </c>
      <c r="L27" s="1" t="s">
        <v>94</v>
      </c>
      <c r="M27" s="35" t="s">
        <v>41</v>
      </c>
      <c r="N27" s="24"/>
    </row>
    <row r="28" spans="1:14" ht="39.75" customHeight="1" x14ac:dyDescent="0.2">
      <c r="A28" s="10">
        <v>16</v>
      </c>
      <c r="B28" s="4" t="s">
        <v>6</v>
      </c>
      <c r="C28" s="51" t="s">
        <v>8</v>
      </c>
      <c r="D28" s="1" t="s">
        <v>95</v>
      </c>
      <c r="E28" s="2">
        <v>250000000</v>
      </c>
      <c r="F28" s="2">
        <v>250000000</v>
      </c>
      <c r="G28" s="12">
        <v>0.2</v>
      </c>
      <c r="H28" s="4" t="s">
        <v>96</v>
      </c>
      <c r="I28" s="4" t="s">
        <v>33</v>
      </c>
      <c r="J28" s="4" t="s">
        <v>97</v>
      </c>
      <c r="K28" s="12">
        <v>0.7</v>
      </c>
      <c r="L28" s="1" t="s">
        <v>98</v>
      </c>
      <c r="M28" s="35" t="s">
        <v>41</v>
      </c>
      <c r="N28" s="24"/>
    </row>
    <row r="29" spans="1:14" ht="39.75" customHeight="1" x14ac:dyDescent="0.2">
      <c r="A29" s="10">
        <v>18</v>
      </c>
      <c r="B29" s="4" t="s">
        <v>6</v>
      </c>
      <c r="C29" s="51" t="s">
        <v>8</v>
      </c>
      <c r="D29" s="1" t="s">
        <v>99</v>
      </c>
      <c r="E29" s="2">
        <v>400000000</v>
      </c>
      <c r="F29" s="2">
        <v>900000000</v>
      </c>
      <c r="G29" s="12">
        <v>0.2</v>
      </c>
      <c r="H29" s="39" t="s">
        <v>66</v>
      </c>
      <c r="I29" s="4" t="s">
        <v>33</v>
      </c>
      <c r="J29" s="4" t="s">
        <v>97</v>
      </c>
      <c r="K29" s="12">
        <v>0.6</v>
      </c>
      <c r="L29" s="1" t="s">
        <v>100</v>
      </c>
      <c r="M29" s="35" t="s">
        <v>64</v>
      </c>
      <c r="N29" s="24"/>
    </row>
    <row r="30" spans="1:14" ht="87.75" customHeight="1" x14ac:dyDescent="0.2">
      <c r="A30" s="10">
        <v>19</v>
      </c>
      <c r="B30" s="4" t="s">
        <v>6</v>
      </c>
      <c r="C30" s="51" t="s">
        <v>8</v>
      </c>
      <c r="D30" s="1" t="s">
        <v>101</v>
      </c>
      <c r="E30" s="2">
        <v>400000000</v>
      </c>
      <c r="F30" s="2">
        <v>3000000000</v>
      </c>
      <c r="G30" s="12">
        <v>0.2</v>
      </c>
      <c r="H30" s="39" t="s">
        <v>102</v>
      </c>
      <c r="I30" s="4" t="s">
        <v>33</v>
      </c>
      <c r="J30" s="4" t="s">
        <v>97</v>
      </c>
      <c r="K30" s="12">
        <v>0.6</v>
      </c>
      <c r="L30" s="1" t="s">
        <v>103</v>
      </c>
      <c r="M30" s="35" t="s">
        <v>41</v>
      </c>
      <c r="N30" s="24"/>
    </row>
    <row r="31" spans="1:14" ht="39.75" customHeight="1" x14ac:dyDescent="0.2">
      <c r="A31" s="81">
        <v>20</v>
      </c>
      <c r="B31" s="57" t="s">
        <v>6</v>
      </c>
      <c r="C31" s="82" t="s">
        <v>8</v>
      </c>
      <c r="D31" s="42" t="s">
        <v>104</v>
      </c>
      <c r="E31" s="2">
        <v>400000000</v>
      </c>
      <c r="F31" s="83">
        <v>500000000</v>
      </c>
      <c r="G31" s="84">
        <v>0.2</v>
      </c>
      <c r="H31" s="85" t="s">
        <v>102</v>
      </c>
      <c r="I31" s="57" t="s">
        <v>33</v>
      </c>
      <c r="J31" s="57" t="s">
        <v>97</v>
      </c>
      <c r="K31" s="84">
        <v>0.6</v>
      </c>
      <c r="L31" s="42" t="s">
        <v>105</v>
      </c>
      <c r="M31" s="86" t="s">
        <v>41</v>
      </c>
      <c r="N31" s="24"/>
    </row>
    <row r="32" spans="1:14" ht="30" customHeight="1" x14ac:dyDescent="0.2">
      <c r="A32" s="5" t="s">
        <v>106</v>
      </c>
      <c r="B32" s="6" t="s">
        <v>11</v>
      </c>
      <c r="C32" s="50"/>
      <c r="D32" s="7"/>
      <c r="E32" s="7"/>
      <c r="F32" s="8">
        <f>+SUBTOTAL(9,F33:F40)</f>
        <v>21800000000</v>
      </c>
      <c r="G32" s="46"/>
      <c r="H32" s="6"/>
      <c r="I32" s="6"/>
      <c r="J32" s="6"/>
      <c r="K32" s="6"/>
      <c r="L32" s="7"/>
      <c r="M32" s="34"/>
    </row>
    <row r="33" spans="1:15" ht="54.75" customHeight="1" x14ac:dyDescent="0.2">
      <c r="A33" s="87">
        <v>1</v>
      </c>
      <c r="B33" s="18" t="s">
        <v>11</v>
      </c>
      <c r="C33" s="88" t="s">
        <v>12</v>
      </c>
      <c r="D33" s="93" t="s">
        <v>107</v>
      </c>
      <c r="E33" s="1"/>
      <c r="F33" s="89">
        <v>3900000000</v>
      </c>
      <c r="G33" s="90">
        <v>0.25</v>
      </c>
      <c r="H33" s="91" t="s">
        <v>46</v>
      </c>
      <c r="I33" s="92" t="s">
        <v>33</v>
      </c>
      <c r="J33" s="18" t="s">
        <v>59</v>
      </c>
      <c r="K33" s="90">
        <v>0.7</v>
      </c>
      <c r="L33" s="93" t="s">
        <v>108</v>
      </c>
      <c r="M33" s="94"/>
      <c r="N33" s="26"/>
      <c r="O33" s="26"/>
    </row>
    <row r="34" spans="1:15" ht="94.5" customHeight="1" x14ac:dyDescent="0.2">
      <c r="A34" s="3">
        <v>2</v>
      </c>
      <c r="B34" s="4" t="s">
        <v>11</v>
      </c>
      <c r="C34" s="48" t="s">
        <v>12</v>
      </c>
      <c r="D34" s="41" t="s">
        <v>109</v>
      </c>
      <c r="E34" s="1"/>
      <c r="F34" s="2">
        <v>3500000000</v>
      </c>
      <c r="G34" s="55">
        <v>0.25</v>
      </c>
      <c r="H34" s="54" t="s">
        <v>46</v>
      </c>
      <c r="I34" s="4" t="s">
        <v>33</v>
      </c>
      <c r="J34" s="4" t="s">
        <v>59</v>
      </c>
      <c r="K34" s="12">
        <v>0.7</v>
      </c>
      <c r="L34" s="96" t="s">
        <v>110</v>
      </c>
      <c r="M34" s="35"/>
      <c r="N34" s="26"/>
      <c r="O34" s="26"/>
    </row>
    <row r="35" spans="1:15" ht="131.25" customHeight="1" x14ac:dyDescent="0.2">
      <c r="A35" s="3">
        <v>3</v>
      </c>
      <c r="B35" s="4" t="s">
        <v>11</v>
      </c>
      <c r="C35" s="48" t="s">
        <v>12</v>
      </c>
      <c r="D35" s="1" t="s">
        <v>111</v>
      </c>
      <c r="E35" s="1" t="s">
        <v>112</v>
      </c>
      <c r="F35" s="2">
        <v>2400000000</v>
      </c>
      <c r="G35" s="12">
        <v>0.25</v>
      </c>
      <c r="H35" s="18" t="s">
        <v>46</v>
      </c>
      <c r="I35" s="18" t="s">
        <v>33</v>
      </c>
      <c r="J35" s="4" t="s">
        <v>59</v>
      </c>
      <c r="K35" s="12">
        <v>0.7</v>
      </c>
      <c r="L35" s="41" t="s">
        <v>113</v>
      </c>
      <c r="M35" s="35"/>
      <c r="N35" s="26"/>
      <c r="O35" s="26"/>
    </row>
    <row r="36" spans="1:15" ht="66" customHeight="1" x14ac:dyDescent="0.2">
      <c r="A36" s="3">
        <v>4</v>
      </c>
      <c r="B36" s="4" t="s">
        <v>11</v>
      </c>
      <c r="C36" s="48" t="s">
        <v>12</v>
      </c>
      <c r="D36" s="1" t="s">
        <v>114</v>
      </c>
      <c r="E36" s="1"/>
      <c r="F36" s="2">
        <v>1300000000</v>
      </c>
      <c r="G36" s="12">
        <v>0.25</v>
      </c>
      <c r="H36" s="95">
        <v>46209</v>
      </c>
      <c r="I36" s="53" t="s">
        <v>39</v>
      </c>
      <c r="J36" s="4" t="s">
        <v>59</v>
      </c>
      <c r="K36" s="12">
        <v>0.9</v>
      </c>
      <c r="L36" s="41" t="s">
        <v>115</v>
      </c>
      <c r="M36" s="35"/>
      <c r="N36" s="26"/>
      <c r="O36" s="26"/>
    </row>
    <row r="37" spans="1:15" ht="108.75" customHeight="1" x14ac:dyDescent="0.2">
      <c r="A37" s="3">
        <v>5</v>
      </c>
      <c r="B37" s="4" t="s">
        <v>11</v>
      </c>
      <c r="C37" s="51" t="s">
        <v>12</v>
      </c>
      <c r="D37" s="1" t="s">
        <v>116</v>
      </c>
      <c r="E37" s="1"/>
      <c r="F37" s="2">
        <v>2600000000</v>
      </c>
      <c r="G37" s="12">
        <v>0.25</v>
      </c>
      <c r="H37" s="4" t="s">
        <v>46</v>
      </c>
      <c r="I37" s="52" t="s">
        <v>33</v>
      </c>
      <c r="J37" s="4" t="s">
        <v>117</v>
      </c>
      <c r="K37" s="12">
        <v>0.7</v>
      </c>
      <c r="L37" s="41" t="s">
        <v>118</v>
      </c>
      <c r="M37" s="35"/>
      <c r="N37" s="26"/>
      <c r="O37" s="26"/>
    </row>
    <row r="38" spans="1:15" ht="50.25" customHeight="1" x14ac:dyDescent="0.2">
      <c r="A38" s="3">
        <v>6</v>
      </c>
      <c r="B38" s="4" t="s">
        <v>11</v>
      </c>
      <c r="C38" s="48" t="s">
        <v>12</v>
      </c>
      <c r="D38" s="1" t="s">
        <v>119</v>
      </c>
      <c r="E38" s="1"/>
      <c r="F38" s="2">
        <v>2900000000</v>
      </c>
      <c r="G38" s="12">
        <v>0.25</v>
      </c>
      <c r="H38" s="39" t="s">
        <v>66</v>
      </c>
      <c r="I38" s="53" t="s">
        <v>33</v>
      </c>
      <c r="J38" s="4" t="s">
        <v>117</v>
      </c>
      <c r="K38" s="12">
        <v>0.5</v>
      </c>
      <c r="L38" s="1" t="s">
        <v>120</v>
      </c>
      <c r="M38" s="35"/>
      <c r="N38" s="26"/>
      <c r="O38" s="26"/>
    </row>
    <row r="39" spans="1:15" ht="47.25" customHeight="1" x14ac:dyDescent="0.2">
      <c r="A39" s="3">
        <v>9</v>
      </c>
      <c r="B39" s="4" t="s">
        <v>11</v>
      </c>
      <c r="C39" s="48" t="s">
        <v>12</v>
      </c>
      <c r="D39" s="1" t="s">
        <v>121</v>
      </c>
      <c r="E39" s="1"/>
      <c r="F39" s="2">
        <v>5000000000</v>
      </c>
      <c r="G39" s="12">
        <v>0.25</v>
      </c>
      <c r="H39" s="39" t="s">
        <v>46</v>
      </c>
      <c r="I39" s="4" t="s">
        <v>33</v>
      </c>
      <c r="J39" s="4" t="s">
        <v>62</v>
      </c>
      <c r="K39" s="12">
        <v>0.9</v>
      </c>
      <c r="L39" s="49" t="s">
        <v>122</v>
      </c>
      <c r="M39" s="35"/>
    </row>
    <row r="40" spans="1:15" ht="33" customHeight="1" x14ac:dyDescent="0.2">
      <c r="A40" s="3">
        <v>11</v>
      </c>
      <c r="B40" s="4" t="s">
        <v>11</v>
      </c>
      <c r="C40" s="48" t="s">
        <v>12</v>
      </c>
      <c r="D40" s="1" t="s">
        <v>123</v>
      </c>
      <c r="E40" s="1"/>
      <c r="F40" s="2">
        <v>200000000</v>
      </c>
      <c r="G40" s="12">
        <v>0.2</v>
      </c>
      <c r="H40" s="39" t="s">
        <v>46</v>
      </c>
      <c r="I40" s="52" t="s">
        <v>33</v>
      </c>
      <c r="J40" s="4" t="s">
        <v>34</v>
      </c>
      <c r="K40" s="12">
        <v>0.5</v>
      </c>
      <c r="L40" s="1" t="s">
        <v>124</v>
      </c>
      <c r="M40" s="35"/>
    </row>
    <row r="41" spans="1:15" ht="27.75" customHeight="1" x14ac:dyDescent="0.2">
      <c r="A41" s="5" t="s">
        <v>125</v>
      </c>
      <c r="B41" s="6" t="s">
        <v>3</v>
      </c>
      <c r="C41" s="50"/>
      <c r="D41" s="7"/>
      <c r="E41" s="7"/>
      <c r="F41" s="8">
        <f>+SUBTOTAL(9,F42:F53)</f>
        <v>222325000000</v>
      </c>
      <c r="G41" s="46"/>
      <c r="H41" s="6"/>
      <c r="I41" s="6"/>
      <c r="J41" s="6"/>
      <c r="K41" s="6"/>
      <c r="L41" s="7"/>
      <c r="M41" s="34"/>
    </row>
    <row r="42" spans="1:15" ht="37.5" customHeight="1" x14ac:dyDescent="0.2">
      <c r="A42" s="3">
        <v>1</v>
      </c>
      <c r="B42" s="4" t="s">
        <v>3</v>
      </c>
      <c r="C42" s="51" t="s">
        <v>4</v>
      </c>
      <c r="D42" s="1" t="s">
        <v>126</v>
      </c>
      <c r="E42" s="1"/>
      <c r="F42" s="2">
        <v>80000000</v>
      </c>
      <c r="G42" s="12">
        <v>0.2</v>
      </c>
      <c r="H42" s="39" t="s">
        <v>46</v>
      </c>
      <c r="I42" s="4" t="s">
        <v>33</v>
      </c>
      <c r="J42" s="4" t="s">
        <v>127</v>
      </c>
      <c r="K42" s="12">
        <v>0.7</v>
      </c>
      <c r="L42" s="1" t="s">
        <v>128</v>
      </c>
      <c r="M42" s="35"/>
    </row>
    <row r="43" spans="1:15" s="26" customFormat="1" ht="60" customHeight="1" x14ac:dyDescent="0.2">
      <c r="A43" s="3">
        <f>A42+1</f>
        <v>2</v>
      </c>
      <c r="B43" s="4" t="s">
        <v>3</v>
      </c>
      <c r="C43" s="48" t="s">
        <v>4</v>
      </c>
      <c r="D43" s="1" t="s">
        <v>129</v>
      </c>
      <c r="E43" s="1"/>
      <c r="F43" s="2">
        <v>30000000000</v>
      </c>
      <c r="G43" s="12">
        <v>0.18</v>
      </c>
      <c r="H43" s="39" t="s">
        <v>46</v>
      </c>
      <c r="I43" s="4" t="s">
        <v>33</v>
      </c>
      <c r="J43" s="4" t="s">
        <v>97</v>
      </c>
      <c r="K43" s="12">
        <v>0.8</v>
      </c>
      <c r="L43" s="1" t="s">
        <v>130</v>
      </c>
      <c r="M43" s="35"/>
    </row>
    <row r="44" spans="1:15" ht="42" customHeight="1" x14ac:dyDescent="0.2">
      <c r="A44" s="3">
        <f>A43+1</f>
        <v>3</v>
      </c>
      <c r="B44" s="4" t="s">
        <v>3</v>
      </c>
      <c r="C44" s="51" t="s">
        <v>131</v>
      </c>
      <c r="D44" s="1" t="s">
        <v>132</v>
      </c>
      <c r="E44" s="42"/>
      <c r="F44" s="2">
        <v>95000000</v>
      </c>
      <c r="G44" s="12">
        <v>0.23</v>
      </c>
      <c r="H44" s="43" t="s">
        <v>133</v>
      </c>
      <c r="I44" s="4" t="s">
        <v>33</v>
      </c>
      <c r="J44" s="4" t="s">
        <v>47</v>
      </c>
      <c r="K44" s="12">
        <v>0.85</v>
      </c>
      <c r="L44" s="41" t="s">
        <v>134</v>
      </c>
      <c r="M44" s="35"/>
    </row>
    <row r="45" spans="1:15" ht="42" customHeight="1" x14ac:dyDescent="0.2">
      <c r="A45" s="3">
        <f>A44+1</f>
        <v>4</v>
      </c>
      <c r="B45" s="4" t="s">
        <v>3</v>
      </c>
      <c r="C45" s="51" t="s">
        <v>131</v>
      </c>
      <c r="D45" s="1" t="s">
        <v>135</v>
      </c>
      <c r="E45" s="42"/>
      <c r="F45" s="2">
        <v>1100000000</v>
      </c>
      <c r="G45" s="12">
        <v>0.23</v>
      </c>
      <c r="H45" s="43">
        <v>46213</v>
      </c>
      <c r="I45" s="4" t="s">
        <v>33</v>
      </c>
      <c r="J45" s="4" t="s">
        <v>47</v>
      </c>
      <c r="K45" s="12">
        <v>0.7</v>
      </c>
      <c r="L45" s="41" t="s">
        <v>136</v>
      </c>
      <c r="M45" s="35"/>
    </row>
    <row r="46" spans="1:15" ht="39" customHeight="1" x14ac:dyDescent="0.2">
      <c r="A46" s="3">
        <f t="shared" ref="A46" si="0">A45+1</f>
        <v>5</v>
      </c>
      <c r="B46" s="4" t="s">
        <v>3</v>
      </c>
      <c r="C46" s="51" t="s">
        <v>5</v>
      </c>
      <c r="D46" s="1" t="s">
        <v>137</v>
      </c>
      <c r="E46" s="42"/>
      <c r="F46" s="2">
        <v>110000000</v>
      </c>
      <c r="G46" s="12">
        <v>0.2</v>
      </c>
      <c r="H46" s="43">
        <v>46213</v>
      </c>
      <c r="I46" s="4" t="s">
        <v>33</v>
      </c>
      <c r="J46" s="4" t="s">
        <v>47</v>
      </c>
      <c r="K46" s="12">
        <v>0.7</v>
      </c>
      <c r="L46" s="41" t="s">
        <v>138</v>
      </c>
      <c r="M46" s="35"/>
    </row>
    <row r="47" spans="1:15" ht="39" customHeight="1" x14ac:dyDescent="0.2">
      <c r="A47" s="3"/>
      <c r="B47" s="4" t="s">
        <v>3</v>
      </c>
      <c r="C47" s="51" t="s">
        <v>5</v>
      </c>
      <c r="D47" s="1" t="s">
        <v>139</v>
      </c>
      <c r="E47" s="42"/>
      <c r="F47" s="2">
        <v>140000000</v>
      </c>
      <c r="G47" s="12">
        <v>0.2</v>
      </c>
      <c r="H47" s="43" t="s">
        <v>66</v>
      </c>
      <c r="I47" s="4" t="s">
        <v>33</v>
      </c>
      <c r="J47" s="4" t="s">
        <v>47</v>
      </c>
      <c r="K47" s="12">
        <v>0.5</v>
      </c>
      <c r="L47" s="41" t="s">
        <v>140</v>
      </c>
      <c r="M47" s="35"/>
    </row>
    <row r="48" spans="1:15" ht="39" customHeight="1" x14ac:dyDescent="0.2">
      <c r="A48" s="3">
        <f>A46+1</f>
        <v>6</v>
      </c>
      <c r="B48" s="4" t="s">
        <v>3</v>
      </c>
      <c r="C48" s="51" t="s">
        <v>4</v>
      </c>
      <c r="D48" s="1" t="s">
        <v>141</v>
      </c>
      <c r="E48" s="42"/>
      <c r="F48" s="2">
        <v>60000000000</v>
      </c>
      <c r="G48" s="12">
        <v>0.08</v>
      </c>
      <c r="H48" s="39" t="s">
        <v>66</v>
      </c>
      <c r="I48" s="4" t="s">
        <v>33</v>
      </c>
      <c r="J48" s="4" t="s">
        <v>97</v>
      </c>
      <c r="K48" s="12">
        <v>0.8</v>
      </c>
      <c r="L48" s="41" t="s">
        <v>142</v>
      </c>
      <c r="M48" s="35"/>
    </row>
    <row r="49" spans="1:13" ht="48.75" customHeight="1" x14ac:dyDescent="0.2">
      <c r="A49" s="3">
        <f>A48+1</f>
        <v>7</v>
      </c>
      <c r="B49" s="4" t="s">
        <v>3</v>
      </c>
      <c r="C49" s="51" t="s">
        <v>4</v>
      </c>
      <c r="D49" s="1" t="s">
        <v>143</v>
      </c>
      <c r="E49" s="42"/>
      <c r="F49" s="2">
        <v>60000000000</v>
      </c>
      <c r="G49" s="12">
        <v>0.15</v>
      </c>
      <c r="H49" s="39" t="s">
        <v>144</v>
      </c>
      <c r="I49" s="4" t="s">
        <v>33</v>
      </c>
      <c r="J49" s="4" t="s">
        <v>145</v>
      </c>
      <c r="K49" s="12">
        <v>0.8</v>
      </c>
      <c r="L49" s="41" t="s">
        <v>146</v>
      </c>
      <c r="M49" s="35"/>
    </row>
    <row r="50" spans="1:13" ht="36.75" customHeight="1" x14ac:dyDescent="0.2">
      <c r="A50" s="3">
        <f>A49+1</f>
        <v>8</v>
      </c>
      <c r="B50" s="4" t="s">
        <v>3</v>
      </c>
      <c r="C50" s="51" t="s">
        <v>131</v>
      </c>
      <c r="D50" s="1" t="s">
        <v>147</v>
      </c>
      <c r="E50" s="42"/>
      <c r="F50" s="2">
        <v>800000000</v>
      </c>
      <c r="G50" s="12">
        <v>0.23</v>
      </c>
      <c r="H50" s="43" t="s">
        <v>148</v>
      </c>
      <c r="I50" s="4" t="s">
        <v>33</v>
      </c>
      <c r="J50" s="4" t="s">
        <v>47</v>
      </c>
      <c r="K50" s="12">
        <v>0.7</v>
      </c>
      <c r="L50" s="41" t="s">
        <v>149</v>
      </c>
      <c r="M50" s="35"/>
    </row>
    <row r="51" spans="1:13" ht="44.25" customHeight="1" x14ac:dyDescent="0.2">
      <c r="A51" s="3">
        <f>A50+1</f>
        <v>9</v>
      </c>
      <c r="B51" s="4" t="s">
        <v>3</v>
      </c>
      <c r="C51" s="51" t="s">
        <v>4</v>
      </c>
      <c r="D51" s="1" t="s">
        <v>150</v>
      </c>
      <c r="E51" s="42"/>
      <c r="F51" s="2">
        <v>60000000000</v>
      </c>
      <c r="G51" s="12">
        <v>0.15</v>
      </c>
      <c r="H51" s="39" t="s">
        <v>66</v>
      </c>
      <c r="I51" s="4" t="s">
        <v>33</v>
      </c>
      <c r="J51" s="4" t="s">
        <v>145</v>
      </c>
      <c r="K51" s="12">
        <v>0.8</v>
      </c>
      <c r="L51" s="41" t="s">
        <v>151</v>
      </c>
      <c r="M51" s="35"/>
    </row>
    <row r="52" spans="1:13" ht="44.25" customHeight="1" x14ac:dyDescent="0.2">
      <c r="A52" s="3">
        <f>A51+1</f>
        <v>10</v>
      </c>
      <c r="B52" s="4" t="s">
        <v>3</v>
      </c>
      <c r="C52" s="51" t="s">
        <v>4</v>
      </c>
      <c r="D52" s="1" t="s">
        <v>152</v>
      </c>
      <c r="E52" s="42"/>
      <c r="F52" s="47">
        <v>4000000000</v>
      </c>
      <c r="G52" s="12">
        <v>0.08</v>
      </c>
      <c r="H52" s="39" t="s">
        <v>38</v>
      </c>
      <c r="I52" s="4" t="s">
        <v>33</v>
      </c>
      <c r="J52" s="4" t="s">
        <v>47</v>
      </c>
      <c r="K52" s="12">
        <v>0.9</v>
      </c>
      <c r="L52" s="41" t="s">
        <v>153</v>
      </c>
      <c r="M52" s="35"/>
    </row>
    <row r="53" spans="1:13" ht="32.25" customHeight="1" x14ac:dyDescent="0.2">
      <c r="A53" s="3">
        <f>A52+1</f>
        <v>11</v>
      </c>
      <c r="B53" s="4" t="s">
        <v>3</v>
      </c>
      <c r="C53" s="51" t="s">
        <v>4</v>
      </c>
      <c r="D53" s="1" t="s">
        <v>154</v>
      </c>
      <c r="E53" s="42"/>
      <c r="F53" s="2">
        <v>6000000000</v>
      </c>
      <c r="G53" s="12">
        <v>0.08</v>
      </c>
      <c r="H53" s="39" t="s">
        <v>46</v>
      </c>
      <c r="I53" s="4" t="s">
        <v>33</v>
      </c>
      <c r="J53" s="4" t="s">
        <v>97</v>
      </c>
      <c r="K53" s="12">
        <v>0.8</v>
      </c>
      <c r="L53" s="41" t="s">
        <v>155</v>
      </c>
      <c r="M53" s="35"/>
    </row>
    <row r="54" spans="1:13" ht="22.5" customHeight="1" x14ac:dyDescent="0.2">
      <c r="A54" s="28"/>
      <c r="B54" s="29" t="s">
        <v>156</v>
      </c>
      <c r="C54" s="30"/>
      <c r="D54" s="31"/>
      <c r="E54" s="31"/>
      <c r="F54" s="32">
        <f>SUBTOTAL(9,F4:F53)</f>
        <v>274738000000</v>
      </c>
      <c r="G54" s="58"/>
      <c r="H54" s="60"/>
      <c r="I54" s="31"/>
      <c r="J54" s="60"/>
      <c r="K54" s="33"/>
      <c r="L54" s="31"/>
      <c r="M54" s="36"/>
    </row>
    <row r="55" spans="1:13" x14ac:dyDescent="0.2">
      <c r="F55" s="24"/>
      <c r="H55" s="61"/>
    </row>
    <row r="56" spans="1:13" ht="46.5" customHeight="1" x14ac:dyDescent="0.2"/>
    <row r="57" spans="1:13" ht="46.5" customHeight="1" x14ac:dyDescent="0.2"/>
    <row r="58" spans="1:13" ht="25.5" customHeight="1" x14ac:dyDescent="0.2"/>
  </sheetData>
  <mergeCells count="1">
    <mergeCell ref="A1:M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Danh sách dự kiến ký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FF-PC06</dc:creator>
  <cp:keywords/>
  <dc:description/>
  <cp:lastModifiedBy>Nguyễn Thị Mơ</cp:lastModifiedBy>
  <cp:revision/>
  <dcterms:created xsi:type="dcterms:W3CDTF">2025-11-13T08:26:10Z</dcterms:created>
  <dcterms:modified xsi:type="dcterms:W3CDTF">2026-07-04T11:13:54Z</dcterms:modified>
  <cp:category/>
  <cp:contentStatus/>
</cp:coreProperties>
</file>